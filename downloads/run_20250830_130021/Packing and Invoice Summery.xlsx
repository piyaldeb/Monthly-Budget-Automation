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<sst xmlns="http://schemas.openxmlformats.org/spreadsheetml/2006/main" count="751" uniqueCount="269">
  <si>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</si>
  <si>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</si>
  <si>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</si>
  <si>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</si>
  <si>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</si>
  <si>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</si>
  <si>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</si>
  <si>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</si>
  <si>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</si>
  <si>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</si>
  <si>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</si>
  <si>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</si>
  <si>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</si>
  <si>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</si>
  <si>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</si>
  <si>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</si>
  <si>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</si>
  <si>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</si>
  <si>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</si>
  <si>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</si>
  <si>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</si>
  <si>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</si>
  <si>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</si>
  <si>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</si>
  <si>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</si>
  <si>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01-Jan-2025</t>
  </si>
  <si>
    <t xml:space="preserve"> PCS</t>
  </si>
  <si>
    <t>USD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</si>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</sst>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485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>
        <v>115385</v>
      </c>
      <c r="D2" s="2">
        <v>3690</v>
      </c>
      <c r="E2" s="2">
        <v>15124</v>
      </c>
      <c r="F2" s="2"/>
      <c r="G2" s="2"/>
      <c r="H2" s="2"/>
      <c r="I2" s="2"/>
      <c r="J2" s="2"/>
      <c r="K2" s="2"/>
      <c r="L2" s="2"/>
      <c r="M2" s="2">
        <v>23639</v>
      </c>
      <c r="N2" s="2">
        <v>41681</v>
      </c>
      <c r="O2" s="2"/>
      <c r="P2" s="2">
        <v>9888</v>
      </c>
      <c r="Q2" s="2">
        <v>10232</v>
      </c>
      <c r="R2" s="2"/>
      <c r="S2" s="2">
        <v>15537</v>
      </c>
      <c r="T2" s="2">
        <v>538</v>
      </c>
      <c r="U2" s="2"/>
      <c r="V2" s="2">
        <v>651</v>
      </c>
      <c r="W2" s="2"/>
      <c r="X2" s="2"/>
      <c r="Y2" s="2">
        <v>3000</v>
      </c>
      <c r="Z2" s="2">
        <f>SUM(C2:X2)</f>
        <v>0</v>
      </c>
    </row>
    <row r="3" spans="1:26">
      <c r="A3" s="1"/>
      <c r="B3" s="3" t="s">
        <v>27</v>
      </c>
      <c r="C3" s="3">
        <v>12651.8257</v>
      </c>
      <c r="D3" s="3">
        <v>717.7125000000001</v>
      </c>
      <c r="E3" s="3">
        <v>6557.708399999998</v>
      </c>
      <c r="F3" s="3"/>
      <c r="G3" s="3"/>
      <c r="H3" s="3"/>
      <c r="I3" s="3"/>
      <c r="J3" s="3"/>
      <c r="K3" s="3"/>
      <c r="L3" s="3"/>
      <c r="M3" s="3">
        <v>3412.4182</v>
      </c>
      <c r="N3" s="3">
        <v>2293.525617294766</v>
      </c>
      <c r="O3" s="3"/>
      <c r="P3" s="3">
        <v>1191.84</v>
      </c>
      <c r="Q3" s="3">
        <v>777.6319999999999</v>
      </c>
      <c r="R3" s="3"/>
      <c r="S3" s="3">
        <v>2175.18</v>
      </c>
      <c r="T3" s="3">
        <v>80.7</v>
      </c>
      <c r="U3" s="3"/>
      <c r="V3" s="3">
        <v>151.7307</v>
      </c>
      <c r="W3" s="3"/>
      <c r="X3" s="3"/>
      <c r="Y3" s="3">
        <v>105</v>
      </c>
      <c r="Z3" s="3">
        <f>SUM(C3:X3)</f>
        <v>0</v>
      </c>
    </row>
    <row r="4" spans="1:26">
      <c r="A4" s="1" t="s">
        <v>28</v>
      </c>
      <c r="B4" s="2" t="s">
        <v>26</v>
      </c>
      <c r="C4" s="2">
        <v>116778</v>
      </c>
      <c r="D4" s="2">
        <v>4416</v>
      </c>
      <c r="E4" s="2">
        <v>8233</v>
      </c>
      <c r="F4" s="2"/>
      <c r="G4" s="2"/>
      <c r="H4" s="2"/>
      <c r="I4" s="2"/>
      <c r="J4" s="2"/>
      <c r="K4" s="2"/>
      <c r="L4" s="2"/>
      <c r="M4" s="2">
        <v>40169</v>
      </c>
      <c r="N4" s="2">
        <v>100872</v>
      </c>
      <c r="O4" s="2"/>
      <c r="P4" s="2">
        <v>4192</v>
      </c>
      <c r="Q4" s="2">
        <v>15709</v>
      </c>
      <c r="R4" s="2"/>
      <c r="S4" s="2">
        <v>5505</v>
      </c>
      <c r="T4" s="2">
        <v>3847</v>
      </c>
      <c r="U4" s="2"/>
      <c r="V4" s="2">
        <v>7526</v>
      </c>
      <c r="W4" s="2"/>
      <c r="X4" s="2"/>
      <c r="Y4" s="2"/>
      <c r="Z4" s="2">
        <f>SUM(C4:X4)</f>
        <v>0</v>
      </c>
    </row>
    <row r="5" spans="1:26">
      <c r="A5" s="1"/>
      <c r="B5" s="3" t="s">
        <v>27</v>
      </c>
      <c r="C5" s="3">
        <v>12997.27155000001</v>
      </c>
      <c r="D5" s="3">
        <v>798.1125</v>
      </c>
      <c r="E5" s="3">
        <v>3547.3178</v>
      </c>
      <c r="F5" s="3"/>
      <c r="G5" s="3"/>
      <c r="H5" s="3"/>
      <c r="I5" s="3"/>
      <c r="J5" s="3"/>
      <c r="K5" s="3"/>
      <c r="L5" s="3"/>
      <c r="M5" s="3">
        <v>5441.557500000001</v>
      </c>
      <c r="N5" s="3">
        <v>6797.505288141881</v>
      </c>
      <c r="O5" s="3"/>
      <c r="P5" s="3">
        <v>543.35</v>
      </c>
      <c r="Q5" s="3">
        <v>1193.884</v>
      </c>
      <c r="R5" s="3"/>
      <c r="S5" s="3">
        <v>770.7000000000002</v>
      </c>
      <c r="T5" s="3">
        <v>577.0500000000001</v>
      </c>
      <c r="U5" s="3"/>
      <c r="V5" s="3">
        <v>2394.092499999999</v>
      </c>
      <c r="W5" s="3"/>
      <c r="X5" s="3"/>
      <c r="Y5" s="3"/>
      <c r="Z5" s="3">
        <f>SUM(C5:X5)</f>
        <v>0</v>
      </c>
    </row>
    <row r="6" spans="1:26">
      <c r="A6" s="1" t="s">
        <v>29</v>
      </c>
      <c r="B6" s="2" t="s">
        <v>26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>
        <f>SUM(C6:X6)</f>
        <v>0</v>
      </c>
    </row>
    <row r="7" spans="1:26">
      <c r="A7" s="1"/>
      <c r="B7" s="3" t="s">
        <v>27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>
        <f>SUM(C7:X7)</f>
        <v>0</v>
      </c>
    </row>
    <row r="8" spans="1:26">
      <c r="A8" s="1" t="s">
        <v>30</v>
      </c>
      <c r="B8" s="2" t="s">
        <v>26</v>
      </c>
      <c r="C8" s="2">
        <v>196306</v>
      </c>
      <c r="D8" s="2">
        <v>11567</v>
      </c>
      <c r="E8" s="2">
        <v>3611</v>
      </c>
      <c r="F8" s="2"/>
      <c r="G8" s="2"/>
      <c r="H8" s="2"/>
      <c r="I8" s="2"/>
      <c r="J8" s="2"/>
      <c r="K8" s="2"/>
      <c r="L8" s="2"/>
      <c r="M8" s="2">
        <v>40008</v>
      </c>
      <c r="N8" s="2">
        <v>50494</v>
      </c>
      <c r="O8" s="2"/>
      <c r="P8" s="2">
        <v>11262</v>
      </c>
      <c r="Q8" s="2">
        <v>9816</v>
      </c>
      <c r="R8" s="2">
        <v>5494</v>
      </c>
      <c r="S8" s="2">
        <v>4664</v>
      </c>
      <c r="T8" s="2"/>
      <c r="U8" s="2"/>
      <c r="V8" s="2">
        <v>4197</v>
      </c>
      <c r="W8" s="2"/>
      <c r="X8" s="2"/>
      <c r="Y8" s="2"/>
      <c r="Z8" s="2">
        <f>SUM(C8:X8)</f>
        <v>0</v>
      </c>
    </row>
    <row r="9" spans="1:26">
      <c r="A9" s="1"/>
      <c r="B9" s="3" t="s">
        <v>27</v>
      </c>
      <c r="C9" s="3">
        <v>20572.75630000001</v>
      </c>
      <c r="D9" s="3">
        <v>2029.79</v>
      </c>
      <c r="E9" s="3">
        <v>1603.9798</v>
      </c>
      <c r="F9" s="3"/>
      <c r="G9" s="3"/>
      <c r="H9" s="3"/>
      <c r="I9" s="3"/>
      <c r="J9" s="3"/>
      <c r="K9" s="3"/>
      <c r="L9" s="3"/>
      <c r="M9" s="3">
        <v>5603.314000000001</v>
      </c>
      <c r="N9" s="3">
        <v>4009.322</v>
      </c>
      <c r="O9" s="3"/>
      <c r="P9" s="3">
        <v>1373.1</v>
      </c>
      <c r="Q9" s="3">
        <v>746.016</v>
      </c>
      <c r="R9" s="3">
        <v>1154.0014</v>
      </c>
      <c r="S9" s="3">
        <v>652.96</v>
      </c>
      <c r="T9" s="3"/>
      <c r="U9" s="3"/>
      <c r="V9" s="3">
        <v>1385.5985</v>
      </c>
      <c r="W9" s="3"/>
      <c r="X9" s="3"/>
      <c r="Y9" s="3"/>
      <c r="Z9" s="3">
        <f>SUM(C9:X9)</f>
        <v>0</v>
      </c>
    </row>
    <row r="10" spans="1:26">
      <c r="A10" s="1" t="s">
        <v>31</v>
      </c>
      <c r="B10" s="2" t="s">
        <v>26</v>
      </c>
      <c r="C10" s="2">
        <v>251242</v>
      </c>
      <c r="D10" s="2">
        <v>11178</v>
      </c>
      <c r="E10" s="2">
        <v>8743</v>
      </c>
      <c r="F10" s="2"/>
      <c r="G10" s="2"/>
      <c r="H10" s="2"/>
      <c r="I10" s="2"/>
      <c r="J10" s="2"/>
      <c r="K10" s="2"/>
      <c r="L10" s="2"/>
      <c r="M10" s="2">
        <v>50028</v>
      </c>
      <c r="N10" s="2">
        <v>61779</v>
      </c>
      <c r="O10" s="2"/>
      <c r="P10" s="2">
        <v>2885</v>
      </c>
      <c r="Q10" s="2">
        <v>12201</v>
      </c>
      <c r="R10" s="2">
        <v>9268</v>
      </c>
      <c r="S10" s="2">
        <v>5813</v>
      </c>
      <c r="T10" s="2"/>
      <c r="U10" s="2"/>
      <c r="V10" s="2">
        <v>5725</v>
      </c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>
        <v>26798.00100000003</v>
      </c>
      <c r="D11" s="3">
        <v>2334.4152</v>
      </c>
      <c r="E11" s="3">
        <v>3930.663600000001</v>
      </c>
      <c r="F11" s="3"/>
      <c r="G11" s="3"/>
      <c r="H11" s="3"/>
      <c r="I11" s="3"/>
      <c r="J11" s="3"/>
      <c r="K11" s="3"/>
      <c r="L11" s="3"/>
      <c r="M11" s="3">
        <v>6678.248900000003</v>
      </c>
      <c r="N11" s="3">
        <v>4180.7446</v>
      </c>
      <c r="O11" s="3"/>
      <c r="P11" s="3">
        <v>403.9</v>
      </c>
      <c r="Q11" s="3">
        <v>950.9775999999999</v>
      </c>
      <c r="R11" s="3">
        <v>1672.2436</v>
      </c>
      <c r="S11" s="3">
        <v>727.975</v>
      </c>
      <c r="T11" s="3"/>
      <c r="U11" s="3"/>
      <c r="V11" s="3">
        <v>1536.5546</v>
      </c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204113</v>
      </c>
      <c r="D12" s="2">
        <v>9838</v>
      </c>
      <c r="E12" s="2">
        <v>9254</v>
      </c>
      <c r="F12" s="2"/>
      <c r="G12" s="2"/>
      <c r="H12" s="2"/>
      <c r="I12" s="2"/>
      <c r="J12" s="2"/>
      <c r="K12" s="2"/>
      <c r="L12" s="2"/>
      <c r="M12" s="2">
        <v>60227</v>
      </c>
      <c r="N12" s="2">
        <v>60327</v>
      </c>
      <c r="O12" s="2"/>
      <c r="P12" s="2">
        <v>3422</v>
      </c>
      <c r="Q12" s="2">
        <v>12687</v>
      </c>
      <c r="R12" s="2">
        <v>7021</v>
      </c>
      <c r="S12" s="2">
        <v>16807</v>
      </c>
      <c r="T12" s="2"/>
      <c r="U12" s="2"/>
      <c r="V12" s="2">
        <v>1301</v>
      </c>
      <c r="W12" s="2"/>
      <c r="X12" s="2"/>
      <c r="Y12" s="2">
        <v>900</v>
      </c>
      <c r="Z12" s="2">
        <f>SUM(C12:X12)</f>
        <v>0</v>
      </c>
    </row>
    <row r="13" spans="1:26">
      <c r="A13" s="1"/>
      <c r="B13" s="3" t="s">
        <v>27</v>
      </c>
      <c r="C13" s="3">
        <v>22662.84305</v>
      </c>
      <c r="D13" s="3">
        <v>1751.412</v>
      </c>
      <c r="E13" s="3">
        <v>4031.431399999999</v>
      </c>
      <c r="F13" s="3"/>
      <c r="G13" s="3"/>
      <c r="H13" s="3"/>
      <c r="I13" s="3"/>
      <c r="J13" s="3"/>
      <c r="K13" s="3"/>
      <c r="L13" s="3"/>
      <c r="M13" s="3">
        <v>8506.940199999999</v>
      </c>
      <c r="N13" s="3">
        <v>3812.277000000001</v>
      </c>
      <c r="O13" s="3"/>
      <c r="P13" s="3">
        <v>392.59</v>
      </c>
      <c r="Q13" s="3">
        <v>1118.3078</v>
      </c>
      <c r="R13" s="3">
        <v>1182.0914</v>
      </c>
      <c r="S13" s="3">
        <v>2121.765</v>
      </c>
      <c r="T13" s="3"/>
      <c r="U13" s="3"/>
      <c r="V13" s="3">
        <v>299.8058</v>
      </c>
      <c r="W13" s="3"/>
      <c r="X13" s="3"/>
      <c r="Y13" s="3"/>
      <c r="Z13" s="3">
        <f>SUM(C13:X13)</f>
        <v>0</v>
      </c>
    </row>
    <row r="14" spans="1:26">
      <c r="A14" s="1" t="s">
        <v>33</v>
      </c>
      <c r="B14" s="2" t="s">
        <v>26</v>
      </c>
      <c r="C14" s="2">
        <v>271497</v>
      </c>
      <c r="D14" s="2">
        <v>15237</v>
      </c>
      <c r="E14" s="2">
        <v>11662</v>
      </c>
      <c r="F14" s="2"/>
      <c r="G14" s="2"/>
      <c r="H14" s="2"/>
      <c r="I14" s="2"/>
      <c r="J14" s="2"/>
      <c r="K14" s="2"/>
      <c r="L14" s="2"/>
      <c r="M14" s="2">
        <v>70552</v>
      </c>
      <c r="N14" s="2">
        <v>79269</v>
      </c>
      <c r="O14" s="2"/>
      <c r="P14" s="2">
        <v>299</v>
      </c>
      <c r="Q14" s="2">
        <v>14313</v>
      </c>
      <c r="R14" s="2">
        <v>3631</v>
      </c>
      <c r="S14" s="2">
        <v>8278</v>
      </c>
      <c r="T14" s="2"/>
      <c r="U14" s="2"/>
      <c r="V14" s="2">
        <v>696</v>
      </c>
      <c r="W14" s="2"/>
      <c r="X14" s="2"/>
      <c r="Y14" s="2"/>
      <c r="Z14" s="2">
        <f>SUM(C14:X14)</f>
        <v>0</v>
      </c>
    </row>
    <row r="15" spans="1:26">
      <c r="A15" s="1"/>
      <c r="B15" s="3" t="s">
        <v>27</v>
      </c>
      <c r="C15" s="3">
        <v>29830.43625000001</v>
      </c>
      <c r="D15" s="3">
        <v>2534.592</v>
      </c>
      <c r="E15" s="3">
        <v>5145.160599999998</v>
      </c>
      <c r="F15" s="3"/>
      <c r="G15" s="3"/>
      <c r="H15" s="3"/>
      <c r="I15" s="3"/>
      <c r="J15" s="3"/>
      <c r="K15" s="3"/>
      <c r="L15" s="3"/>
      <c r="M15" s="3">
        <v>10006.1839</v>
      </c>
      <c r="N15" s="3">
        <v>5223.950800000001</v>
      </c>
      <c r="O15" s="3"/>
      <c r="P15" s="3">
        <v>41.86000000000001</v>
      </c>
      <c r="Q15" s="3">
        <v>1371.966</v>
      </c>
      <c r="R15" s="3">
        <v>624.141</v>
      </c>
      <c r="S15" s="3">
        <v>1084.96</v>
      </c>
      <c r="T15" s="3"/>
      <c r="U15" s="3"/>
      <c r="V15" s="3">
        <v>264.48</v>
      </c>
      <c r="W15" s="3"/>
      <c r="X15" s="3"/>
      <c r="Y15" s="3"/>
      <c r="Z15" s="3">
        <f>SUM(C15:X15)</f>
        <v>0</v>
      </c>
    </row>
    <row r="16" spans="1:26">
      <c r="A16" s="1" t="s">
        <v>34</v>
      </c>
      <c r="B16" s="2" t="s">
        <v>26</v>
      </c>
      <c r="C16" s="2">
        <v>203436</v>
      </c>
      <c r="D16" s="2">
        <v>26574</v>
      </c>
      <c r="E16" s="2">
        <v>15163</v>
      </c>
      <c r="F16" s="2"/>
      <c r="G16" s="2"/>
      <c r="H16" s="2"/>
      <c r="I16" s="2"/>
      <c r="J16" s="2"/>
      <c r="K16" s="2"/>
      <c r="L16" s="2"/>
      <c r="M16" s="2">
        <v>91800</v>
      </c>
      <c r="N16" s="2">
        <v>68341</v>
      </c>
      <c r="O16" s="2"/>
      <c r="P16" s="2">
        <v>241</v>
      </c>
      <c r="Q16" s="2">
        <v>18401</v>
      </c>
      <c r="R16" s="2">
        <v>5604</v>
      </c>
      <c r="S16" s="2">
        <v>4762</v>
      </c>
      <c r="T16" s="2"/>
      <c r="U16" s="2">
        <v>3675</v>
      </c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>
        <v>22575.38835</v>
      </c>
      <c r="D17" s="3">
        <v>4542.016000000001</v>
      </c>
      <c r="E17" s="3">
        <v>7363.962799999998</v>
      </c>
      <c r="F17" s="3"/>
      <c r="G17" s="3"/>
      <c r="H17" s="3"/>
      <c r="I17" s="3"/>
      <c r="J17" s="3"/>
      <c r="K17" s="3"/>
      <c r="L17" s="3"/>
      <c r="M17" s="3">
        <v>12944.65999999999</v>
      </c>
      <c r="N17" s="3">
        <v>4538.5255</v>
      </c>
      <c r="O17" s="3"/>
      <c r="P17" s="3">
        <v>26.51</v>
      </c>
      <c r="Q17" s="3">
        <v>1483.476</v>
      </c>
      <c r="R17" s="3">
        <v>1304.624</v>
      </c>
      <c r="S17" s="3">
        <v>645.38</v>
      </c>
      <c r="T17" s="3"/>
      <c r="U17" s="3">
        <v>367.5</v>
      </c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248274</v>
      </c>
      <c r="D18" s="2">
        <v>74146</v>
      </c>
      <c r="E18" s="2">
        <v>6877</v>
      </c>
      <c r="F18" s="2"/>
      <c r="G18" s="2"/>
      <c r="H18" s="2"/>
      <c r="I18" s="2"/>
      <c r="J18" s="2"/>
      <c r="K18" s="2"/>
      <c r="L18" s="2"/>
      <c r="M18" s="2">
        <v>95260</v>
      </c>
      <c r="N18" s="2">
        <v>35362</v>
      </c>
      <c r="O18" s="2"/>
      <c r="P18" s="2">
        <v>10558</v>
      </c>
      <c r="Q18" s="2">
        <v>6405</v>
      </c>
      <c r="R18" s="2">
        <v>11121</v>
      </c>
      <c r="S18" s="2">
        <v>4733</v>
      </c>
      <c r="T18" s="2"/>
      <c r="U18" s="2">
        <v>7024</v>
      </c>
      <c r="V18" s="2"/>
      <c r="W18" s="2"/>
      <c r="X18" s="2"/>
      <c r="Y18" s="2"/>
      <c r="Z18" s="2">
        <f>SUM(C18:X18)</f>
        <v>0</v>
      </c>
    </row>
    <row r="19" spans="1:26">
      <c r="A19" s="1"/>
      <c r="B19" s="3" t="s">
        <v>27</v>
      </c>
      <c r="C19" s="3">
        <v>25555.19120000002</v>
      </c>
      <c r="D19" s="3">
        <v>13487.06</v>
      </c>
      <c r="E19" s="3">
        <v>3841.6314</v>
      </c>
      <c r="F19" s="3"/>
      <c r="G19" s="3"/>
      <c r="H19" s="3"/>
      <c r="I19" s="3"/>
      <c r="J19" s="3"/>
      <c r="K19" s="3"/>
      <c r="L19" s="3"/>
      <c r="M19" s="3">
        <v>13662.36249999999</v>
      </c>
      <c r="N19" s="3">
        <v>2406.0985</v>
      </c>
      <c r="O19" s="3"/>
      <c r="P19" s="3">
        <v>1265.56</v>
      </c>
      <c r="Q19" s="3">
        <v>486.78</v>
      </c>
      <c r="R19" s="3">
        <v>2668.525</v>
      </c>
      <c r="S19" s="3">
        <v>662.62</v>
      </c>
      <c r="T19" s="3"/>
      <c r="U19" s="3">
        <v>702.4000000000001</v>
      </c>
      <c r="V19" s="3"/>
      <c r="W19" s="3"/>
      <c r="X19" s="3"/>
      <c r="Y19" s="3"/>
      <c r="Z19" s="3">
        <f>SUM(C19:X19)</f>
        <v>0</v>
      </c>
    </row>
    <row r="20" spans="1:26">
      <c r="A20" s="1" t="s">
        <v>36</v>
      </c>
      <c r="B20" s="2" t="s">
        <v>26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f>SUM(C20:X20)</f>
        <v>0</v>
      </c>
    </row>
    <row r="21" spans="1:26">
      <c r="A21" s="1"/>
      <c r="B21" s="3" t="s">
        <v>27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f>SUM(C21:X21)</f>
        <v>0</v>
      </c>
    </row>
    <row r="22" spans="1:26">
      <c r="A22" s="1" t="s">
        <v>37</v>
      </c>
      <c r="B22" s="2" t="s">
        <v>26</v>
      </c>
      <c r="C22" s="2">
        <v>229158</v>
      </c>
      <c r="D22" s="2">
        <v>1762</v>
      </c>
      <c r="E22" s="2">
        <v>5404</v>
      </c>
      <c r="F22" s="2"/>
      <c r="G22" s="2"/>
      <c r="H22" s="2"/>
      <c r="I22" s="2"/>
      <c r="J22" s="2"/>
      <c r="K22" s="2"/>
      <c r="L22" s="2"/>
      <c r="M22" s="2">
        <v>24335</v>
      </c>
      <c r="N22" s="2">
        <v>60238</v>
      </c>
      <c r="O22" s="2"/>
      <c r="P22" s="2">
        <v>14887</v>
      </c>
      <c r="Q22" s="2">
        <v>13753</v>
      </c>
      <c r="R22" s="2">
        <v>8862</v>
      </c>
      <c r="S22" s="2">
        <v>13978</v>
      </c>
      <c r="T22" s="2">
        <v>1341</v>
      </c>
      <c r="U22" s="2">
        <v>11</v>
      </c>
      <c r="V22" s="2"/>
      <c r="W22" s="2"/>
      <c r="X22" s="2"/>
      <c r="Y22" s="2">
        <v>871594</v>
      </c>
      <c r="Z22" s="2">
        <f>SUM(C22:X22)</f>
        <v>0</v>
      </c>
    </row>
    <row r="23" spans="1:26">
      <c r="A23" s="1"/>
      <c r="B23" s="3" t="s">
        <v>27</v>
      </c>
      <c r="C23" s="3">
        <v>22248.3712</v>
      </c>
      <c r="D23" s="3">
        <v>299.54</v>
      </c>
      <c r="E23" s="3">
        <v>3214</v>
      </c>
      <c r="F23" s="3"/>
      <c r="G23" s="3"/>
      <c r="H23" s="3"/>
      <c r="I23" s="3"/>
      <c r="J23" s="3"/>
      <c r="K23" s="3"/>
      <c r="L23" s="3"/>
      <c r="M23" s="3">
        <v>3601.184400000001</v>
      </c>
      <c r="N23" s="3">
        <v>5375.279350000001</v>
      </c>
      <c r="O23" s="3"/>
      <c r="P23" s="3">
        <v>1637.57</v>
      </c>
      <c r="Q23" s="3">
        <v>1045.228</v>
      </c>
      <c r="R23" s="3">
        <v>2150.359</v>
      </c>
      <c r="S23" s="3">
        <v>1874.055</v>
      </c>
      <c r="T23" s="3">
        <v>201.15</v>
      </c>
      <c r="U23" s="3">
        <v>1.1</v>
      </c>
      <c r="V23" s="3"/>
      <c r="W23" s="3"/>
      <c r="X23" s="3"/>
      <c r="Y23" s="3">
        <v>12230.8062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149680</v>
      </c>
      <c r="D24" s="2">
        <v>5741</v>
      </c>
      <c r="E24" s="2">
        <v>7536</v>
      </c>
      <c r="F24" s="2"/>
      <c r="G24" s="2"/>
      <c r="H24" s="2"/>
      <c r="I24" s="2"/>
      <c r="J24" s="2"/>
      <c r="K24" s="2"/>
      <c r="L24" s="2"/>
      <c r="M24" s="2">
        <v>27118</v>
      </c>
      <c r="N24" s="2">
        <v>74228</v>
      </c>
      <c r="O24" s="2"/>
      <c r="P24" s="2">
        <v>51745</v>
      </c>
      <c r="Q24" s="2">
        <v>8619</v>
      </c>
      <c r="R24" s="2">
        <v>11302</v>
      </c>
      <c r="S24" s="2">
        <v>4742</v>
      </c>
      <c r="T24" s="2">
        <v>491</v>
      </c>
      <c r="U24" s="2"/>
      <c r="V24" s="2">
        <v>178</v>
      </c>
      <c r="W24" s="2"/>
      <c r="X24" s="2"/>
      <c r="Y24" s="2">
        <v>1136939</v>
      </c>
      <c r="Z24" s="2">
        <f>SUM(C24:X24)</f>
        <v>0</v>
      </c>
    </row>
    <row r="25" spans="1:26">
      <c r="A25" s="1"/>
      <c r="B25" s="3" t="s">
        <v>27</v>
      </c>
      <c r="C25" s="3">
        <v>14995.88429999999</v>
      </c>
      <c r="D25" s="3">
        <v>975.97</v>
      </c>
      <c r="E25" s="3">
        <v>3963.710999999999</v>
      </c>
      <c r="F25" s="3"/>
      <c r="G25" s="3"/>
      <c r="H25" s="3"/>
      <c r="I25" s="3"/>
      <c r="J25" s="3"/>
      <c r="K25" s="3"/>
      <c r="L25" s="3"/>
      <c r="M25" s="3">
        <v>3927.053800000001</v>
      </c>
      <c r="N25" s="3">
        <v>7673.9101</v>
      </c>
      <c r="O25" s="3"/>
      <c r="P25" s="3">
        <v>5761.275000000001</v>
      </c>
      <c r="Q25" s="3">
        <v>655.044</v>
      </c>
      <c r="R25" s="3">
        <v>2565.9338</v>
      </c>
      <c r="S25" s="3">
        <v>609.26</v>
      </c>
      <c r="T25" s="3">
        <v>73.65000000000001</v>
      </c>
      <c r="U25" s="3"/>
      <c r="V25" s="3">
        <v>67.64</v>
      </c>
      <c r="W25" s="3"/>
      <c r="X25" s="3"/>
      <c r="Y25" s="3">
        <v>21798.49369999999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192412</v>
      </c>
      <c r="D26" s="2">
        <v>1018</v>
      </c>
      <c r="E26" s="2">
        <v>10128</v>
      </c>
      <c r="F26" s="2"/>
      <c r="G26" s="2"/>
      <c r="H26" s="2"/>
      <c r="I26" s="2"/>
      <c r="J26" s="2"/>
      <c r="K26" s="2"/>
      <c r="L26" s="2"/>
      <c r="M26" s="2">
        <v>34590</v>
      </c>
      <c r="N26" s="2">
        <v>76398</v>
      </c>
      <c r="O26" s="2"/>
      <c r="P26" s="2">
        <v>30659</v>
      </c>
      <c r="Q26" s="2">
        <v>161</v>
      </c>
      <c r="R26" s="2">
        <v>6345</v>
      </c>
      <c r="S26" s="2">
        <v>2995</v>
      </c>
      <c r="T26" s="2">
        <v>1247</v>
      </c>
      <c r="U26" s="2"/>
      <c r="V26" s="2">
        <v>100</v>
      </c>
      <c r="W26" s="2"/>
      <c r="X26" s="2"/>
      <c r="Y26" s="2">
        <v>18523</v>
      </c>
      <c r="Z26" s="2">
        <f>SUM(C26:X26)</f>
        <v>0</v>
      </c>
    </row>
    <row r="27" spans="1:26">
      <c r="A27" s="1"/>
      <c r="B27" s="3" t="s">
        <v>27</v>
      </c>
      <c r="C27" s="3">
        <v>18865.5221</v>
      </c>
      <c r="D27" s="3">
        <v>173.06</v>
      </c>
      <c r="E27" s="3">
        <v>5898.411000000001</v>
      </c>
      <c r="F27" s="3"/>
      <c r="G27" s="3"/>
      <c r="H27" s="3"/>
      <c r="I27" s="3"/>
      <c r="J27" s="3"/>
      <c r="K27" s="3"/>
      <c r="L27" s="3"/>
      <c r="M27" s="3">
        <v>4981.67</v>
      </c>
      <c r="N27" s="3">
        <v>7986.496050000001</v>
      </c>
      <c r="O27" s="3"/>
      <c r="P27" s="3">
        <v>3372.49</v>
      </c>
      <c r="Q27" s="3">
        <v>12.236</v>
      </c>
      <c r="R27" s="3">
        <v>1244.7154</v>
      </c>
      <c r="S27" s="3">
        <v>305.61</v>
      </c>
      <c r="T27" s="3">
        <v>187.05</v>
      </c>
      <c r="U27" s="3"/>
      <c r="V27" s="3">
        <v>26.5</v>
      </c>
      <c r="W27" s="3"/>
      <c r="X27" s="3"/>
      <c r="Y27" s="3">
        <v>8026.0159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220340</v>
      </c>
      <c r="D28" s="2">
        <v>31598</v>
      </c>
      <c r="E28" s="2">
        <v>9959</v>
      </c>
      <c r="F28" s="2"/>
      <c r="G28" s="2"/>
      <c r="H28" s="2"/>
      <c r="I28" s="2"/>
      <c r="J28" s="2"/>
      <c r="K28" s="2"/>
      <c r="L28" s="2"/>
      <c r="M28" s="2">
        <v>32317</v>
      </c>
      <c r="N28" s="2">
        <v>68064</v>
      </c>
      <c r="O28" s="2"/>
      <c r="P28" s="2">
        <v>40006</v>
      </c>
      <c r="Q28" s="2">
        <v>7364</v>
      </c>
      <c r="R28" s="2">
        <v>7668</v>
      </c>
      <c r="S28" s="2">
        <v>4162</v>
      </c>
      <c r="T28" s="2">
        <v>54</v>
      </c>
      <c r="U28" s="2">
        <v>1300</v>
      </c>
      <c r="V28" s="2">
        <v>3162</v>
      </c>
      <c r="W28" s="2"/>
      <c r="X28" s="2"/>
      <c r="Y28" s="2">
        <v>316401</v>
      </c>
      <c r="Z28" s="2">
        <f>SUM(C28:X28)</f>
        <v>0</v>
      </c>
    </row>
    <row r="29" spans="1:26">
      <c r="A29" s="1"/>
      <c r="B29" s="3" t="s">
        <v>27</v>
      </c>
      <c r="C29" s="3">
        <v>22017.9777</v>
      </c>
      <c r="D29" s="3">
        <v>5660.58</v>
      </c>
      <c r="E29" s="3">
        <v>5246.173099999999</v>
      </c>
      <c r="F29" s="3"/>
      <c r="G29" s="3"/>
      <c r="H29" s="3"/>
      <c r="I29" s="3"/>
      <c r="J29" s="3"/>
      <c r="K29" s="3"/>
      <c r="L29" s="3"/>
      <c r="M29" s="3">
        <v>4520.0861</v>
      </c>
      <c r="N29" s="3">
        <v>6183.677400000008</v>
      </c>
      <c r="O29" s="3"/>
      <c r="P29" s="3">
        <v>4997.419999999999</v>
      </c>
      <c r="Q29" s="3">
        <v>703.7270000000001</v>
      </c>
      <c r="R29" s="3">
        <v>1282.4548</v>
      </c>
      <c r="S29" s="3">
        <v>468.5600000000001</v>
      </c>
      <c r="T29" s="3">
        <v>8.1</v>
      </c>
      <c r="U29" s="3">
        <v>130</v>
      </c>
      <c r="V29" s="3">
        <v>664.02</v>
      </c>
      <c r="W29" s="3"/>
      <c r="X29" s="3"/>
      <c r="Y29" s="3">
        <v>13270.5338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292784</v>
      </c>
      <c r="D30" s="2">
        <v>19109</v>
      </c>
      <c r="E30" s="2">
        <v>2248</v>
      </c>
      <c r="F30" s="2">
        <v>1761</v>
      </c>
      <c r="G30" s="2"/>
      <c r="H30" s="2"/>
      <c r="I30" s="2"/>
      <c r="J30" s="2"/>
      <c r="K30" s="2"/>
      <c r="L30" s="2"/>
      <c r="M30" s="2">
        <v>50316</v>
      </c>
      <c r="N30" s="2">
        <v>39509</v>
      </c>
      <c r="O30" s="2"/>
      <c r="P30" s="2">
        <v>31989</v>
      </c>
      <c r="Q30" s="2">
        <v>19851</v>
      </c>
      <c r="R30" s="2">
        <v>12918</v>
      </c>
      <c r="S30" s="2">
        <v>8</v>
      </c>
      <c r="T30" s="2"/>
      <c r="U30" s="2">
        <v>2060</v>
      </c>
      <c r="V30" s="2">
        <v>4534</v>
      </c>
      <c r="W30" s="2"/>
      <c r="X30" s="2"/>
      <c r="Y30" s="2">
        <v>69563</v>
      </c>
      <c r="Z30" s="2">
        <f>SUM(C30:X30)</f>
        <v>0</v>
      </c>
    </row>
    <row r="31" spans="1:26">
      <c r="A31" s="1"/>
      <c r="B31" s="3" t="s">
        <v>27</v>
      </c>
      <c r="C31" s="3">
        <v>29178.34470000001</v>
      </c>
      <c r="D31" s="3">
        <v>3940.11</v>
      </c>
      <c r="E31" s="3">
        <v>1218.42</v>
      </c>
      <c r="F31" s="3">
        <v>884.3820000000001</v>
      </c>
      <c r="G31" s="3"/>
      <c r="H31" s="3"/>
      <c r="I31" s="3"/>
      <c r="J31" s="3"/>
      <c r="K31" s="3"/>
      <c r="L31" s="3"/>
      <c r="M31" s="3">
        <v>6947.324900000002</v>
      </c>
      <c r="N31" s="3">
        <v>4775.64745</v>
      </c>
      <c r="O31" s="3"/>
      <c r="P31" s="3">
        <v>4450.59</v>
      </c>
      <c r="Q31" s="3">
        <v>1997.798700000001</v>
      </c>
      <c r="R31" s="3">
        <v>2636.1328</v>
      </c>
      <c r="S31" s="3">
        <v>1.12</v>
      </c>
      <c r="T31" s="3"/>
      <c r="U31" s="3">
        <v>206</v>
      </c>
      <c r="V31" s="3">
        <v>1147.13</v>
      </c>
      <c r="W31" s="3"/>
      <c r="X31" s="3"/>
      <c r="Y31" s="3">
        <v>13077.04790000001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336003</v>
      </c>
      <c r="D32" s="2">
        <v>29879</v>
      </c>
      <c r="E32" s="2">
        <v>2500</v>
      </c>
      <c r="F32" s="2">
        <v>1331</v>
      </c>
      <c r="G32" s="2"/>
      <c r="H32" s="2"/>
      <c r="I32" s="2"/>
      <c r="J32" s="2"/>
      <c r="K32" s="2"/>
      <c r="L32" s="2"/>
      <c r="M32" s="2">
        <v>56299</v>
      </c>
      <c r="N32" s="2">
        <v>59981</v>
      </c>
      <c r="O32" s="2"/>
      <c r="P32" s="2">
        <v>25316</v>
      </c>
      <c r="Q32" s="2">
        <v>2945</v>
      </c>
      <c r="R32" s="2">
        <v>7871</v>
      </c>
      <c r="S32" s="2"/>
      <c r="T32" s="2"/>
      <c r="U32" s="2">
        <v>5793</v>
      </c>
      <c r="V32" s="2">
        <v>2259</v>
      </c>
      <c r="W32" s="2"/>
      <c r="X32" s="2"/>
      <c r="Y32" s="2">
        <v>42410</v>
      </c>
      <c r="Z32" s="2">
        <f>SUM(C32:X32)</f>
        <v>0</v>
      </c>
    </row>
    <row r="33" spans="1:26">
      <c r="A33" s="1"/>
      <c r="B33" s="3" t="s">
        <v>27</v>
      </c>
      <c r="C33" s="3">
        <v>33118.76629999999</v>
      </c>
      <c r="D33" s="3">
        <v>5302.96</v>
      </c>
      <c r="E33" s="3">
        <v>1273.4879</v>
      </c>
      <c r="F33" s="3">
        <v>669.8439999999999</v>
      </c>
      <c r="G33" s="3"/>
      <c r="H33" s="3"/>
      <c r="I33" s="3"/>
      <c r="J33" s="3"/>
      <c r="K33" s="3"/>
      <c r="L33" s="3"/>
      <c r="M33" s="3">
        <v>8058.103500000001</v>
      </c>
      <c r="N33" s="3">
        <v>5969.617900000001</v>
      </c>
      <c r="O33" s="3"/>
      <c r="P33" s="3">
        <v>3590.86</v>
      </c>
      <c r="Q33" s="3">
        <v>292.105</v>
      </c>
      <c r="R33" s="3">
        <v>1772.9078</v>
      </c>
      <c r="S33" s="3"/>
      <c r="T33" s="3"/>
      <c r="U33" s="3">
        <v>1158.6</v>
      </c>
      <c r="V33" s="3">
        <v>747.7499999999999</v>
      </c>
      <c r="W33" s="3"/>
      <c r="X33" s="3"/>
      <c r="Y33" s="3">
        <v>5866.314799999999</v>
      </c>
      <c r="Z33" s="3">
        <f>SUM(C33:X33)</f>
        <v>0</v>
      </c>
    </row>
    <row r="34" spans="1:26">
      <c r="A34" s="1" t="s">
        <v>43</v>
      </c>
      <c r="B34" s="2" t="s">
        <v>26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f>SUM(C34:X34)</f>
        <v>0</v>
      </c>
    </row>
    <row r="35" spans="1:26">
      <c r="A35" s="1"/>
      <c r="B35" s="3" t="s">
        <v>27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f>SUM(C35:X35)</f>
        <v>0</v>
      </c>
    </row>
    <row r="36" spans="1:26">
      <c r="A36" s="1" t="s">
        <v>44</v>
      </c>
      <c r="B36" s="2" t="s">
        <v>26</v>
      </c>
      <c r="C36" s="2">
        <v>282347</v>
      </c>
      <c r="D36" s="2">
        <v>54</v>
      </c>
      <c r="E36" s="2">
        <v>2174</v>
      </c>
      <c r="F36" s="2">
        <v>6</v>
      </c>
      <c r="G36" s="2"/>
      <c r="H36" s="2"/>
      <c r="I36" s="2"/>
      <c r="J36" s="2"/>
      <c r="K36" s="2"/>
      <c r="L36" s="2"/>
      <c r="M36" s="2">
        <v>72874</v>
      </c>
      <c r="N36" s="2">
        <v>50443</v>
      </c>
      <c r="O36" s="2"/>
      <c r="P36" s="2">
        <v>49834</v>
      </c>
      <c r="Q36" s="2">
        <v>14449</v>
      </c>
      <c r="R36" s="2">
        <v>5194</v>
      </c>
      <c r="S36" s="2"/>
      <c r="T36" s="2"/>
      <c r="U36" s="2">
        <v>3392</v>
      </c>
      <c r="V36" s="2">
        <v>776</v>
      </c>
      <c r="W36" s="2"/>
      <c r="X36" s="2"/>
      <c r="Y36" s="2">
        <v>41556</v>
      </c>
      <c r="Z36" s="2">
        <f>SUM(C36:X36)</f>
        <v>0</v>
      </c>
    </row>
    <row r="37" spans="1:26">
      <c r="A37" s="1"/>
      <c r="B37" s="3" t="s">
        <v>27</v>
      </c>
      <c r="C37" s="3">
        <v>28324.70072920002</v>
      </c>
      <c r="D37" s="3">
        <v>8.91</v>
      </c>
      <c r="E37" s="3">
        <v>1107.2845</v>
      </c>
      <c r="F37" s="3">
        <v>3.072</v>
      </c>
      <c r="G37" s="3"/>
      <c r="H37" s="3"/>
      <c r="I37" s="3"/>
      <c r="J37" s="3"/>
      <c r="K37" s="3"/>
      <c r="L37" s="3"/>
      <c r="M37" s="3">
        <v>10343.0579</v>
      </c>
      <c r="N37" s="3">
        <v>5482.010749999997</v>
      </c>
      <c r="O37" s="3"/>
      <c r="P37" s="3">
        <v>5735.050000000001</v>
      </c>
      <c r="Q37" s="3">
        <v>1362.8551</v>
      </c>
      <c r="R37" s="3">
        <v>1334.64</v>
      </c>
      <c r="S37" s="3"/>
      <c r="T37" s="3"/>
      <c r="U37" s="3">
        <v>519.15</v>
      </c>
      <c r="V37" s="3">
        <v>294.8799999999999</v>
      </c>
      <c r="W37" s="3"/>
      <c r="X37" s="3"/>
      <c r="Y37" s="3">
        <v>3291.467700000001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127489</v>
      </c>
      <c r="D38" s="2">
        <v>8597</v>
      </c>
      <c r="E38" s="2">
        <v>1630</v>
      </c>
      <c r="F38" s="2">
        <v>299</v>
      </c>
      <c r="G38" s="2"/>
      <c r="H38" s="2"/>
      <c r="I38" s="2"/>
      <c r="J38" s="2"/>
      <c r="K38" s="2"/>
      <c r="L38" s="2"/>
      <c r="M38" s="2">
        <v>80364</v>
      </c>
      <c r="N38" s="2">
        <v>80018</v>
      </c>
      <c r="O38" s="2"/>
      <c r="P38" s="2">
        <v>41162</v>
      </c>
      <c r="Q38" s="2">
        <v>7277</v>
      </c>
      <c r="R38" s="2">
        <v>10525</v>
      </c>
      <c r="S38" s="2">
        <v>3807</v>
      </c>
      <c r="T38" s="2"/>
      <c r="U38" s="2">
        <v>865</v>
      </c>
      <c r="V38" s="2"/>
      <c r="W38" s="2"/>
      <c r="X38" s="2"/>
      <c r="Y38" s="2"/>
      <c r="Z38" s="2">
        <f>SUM(C38:X38)</f>
        <v>0</v>
      </c>
    </row>
    <row r="39" spans="1:26">
      <c r="A39" s="1"/>
      <c r="B39" s="3" t="s">
        <v>27</v>
      </c>
      <c r="C39" s="3">
        <v>13724.10772819999</v>
      </c>
      <c r="D39" s="3">
        <v>2085.530000000001</v>
      </c>
      <c r="E39" s="3">
        <v>972.7099999999999</v>
      </c>
      <c r="F39" s="3">
        <v>149.632</v>
      </c>
      <c r="G39" s="3"/>
      <c r="H39" s="3"/>
      <c r="I39" s="3"/>
      <c r="J39" s="3"/>
      <c r="K39" s="3"/>
      <c r="L39" s="3"/>
      <c r="M39" s="3">
        <v>11165.5196</v>
      </c>
      <c r="N39" s="3">
        <v>7942.190038910331</v>
      </c>
      <c r="O39" s="3"/>
      <c r="P39" s="3">
        <v>4626.48</v>
      </c>
      <c r="Q39" s="3">
        <v>743.8284000000001</v>
      </c>
      <c r="R39" s="3">
        <v>3478.8415</v>
      </c>
      <c r="S39" s="3">
        <v>494.91</v>
      </c>
      <c r="T39" s="3"/>
      <c r="U39" s="3">
        <v>103.8</v>
      </c>
      <c r="V39" s="3"/>
      <c r="W39" s="3"/>
      <c r="X39" s="3"/>
      <c r="Y39" s="3"/>
      <c r="Z39" s="3">
        <f>SUM(C39:X39)</f>
        <v>0</v>
      </c>
    </row>
    <row r="40" spans="1:26">
      <c r="A40" s="1" t="s">
        <v>46</v>
      </c>
      <c r="B40" s="2" t="s">
        <v>26</v>
      </c>
      <c r="C40" s="2">
        <v>146123</v>
      </c>
      <c r="D40" s="2">
        <v>11567</v>
      </c>
      <c r="E40" s="2">
        <v>5480</v>
      </c>
      <c r="F40" s="2"/>
      <c r="G40" s="2"/>
      <c r="H40" s="2"/>
      <c r="I40" s="2"/>
      <c r="J40" s="2"/>
      <c r="K40" s="2"/>
      <c r="L40" s="2"/>
      <c r="M40" s="2">
        <v>110284</v>
      </c>
      <c r="N40" s="2">
        <v>83932</v>
      </c>
      <c r="O40" s="2"/>
      <c r="P40" s="2">
        <v>14229</v>
      </c>
      <c r="Q40" s="2">
        <v>7121</v>
      </c>
      <c r="R40" s="2">
        <v>8968</v>
      </c>
      <c r="S40" s="2"/>
      <c r="T40" s="2"/>
      <c r="U40" s="2"/>
      <c r="V40" s="2">
        <v>2173</v>
      </c>
      <c r="W40" s="2"/>
      <c r="X40" s="2"/>
      <c r="Y40" s="2">
        <v>43260</v>
      </c>
      <c r="Z40" s="2">
        <f>SUM(C40:X40)</f>
        <v>0</v>
      </c>
    </row>
    <row r="41" spans="1:26">
      <c r="A41" s="1"/>
      <c r="B41" s="3" t="s">
        <v>27</v>
      </c>
      <c r="C41" s="3">
        <v>15132.9525324</v>
      </c>
      <c r="D41" s="3">
        <v>2422.7465</v>
      </c>
      <c r="E41" s="3">
        <v>2500.0262</v>
      </c>
      <c r="F41" s="3"/>
      <c r="G41" s="3"/>
      <c r="H41" s="3"/>
      <c r="I41" s="3"/>
      <c r="J41" s="3"/>
      <c r="K41" s="3"/>
      <c r="L41" s="3"/>
      <c r="M41" s="3">
        <v>15204.19599999999</v>
      </c>
      <c r="N41" s="3">
        <v>4245.192243440891</v>
      </c>
      <c r="O41" s="3"/>
      <c r="P41" s="3">
        <v>1642.71</v>
      </c>
      <c r="Q41" s="3">
        <v>638.544</v>
      </c>
      <c r="R41" s="3">
        <v>2466.8364</v>
      </c>
      <c r="S41" s="3"/>
      <c r="T41" s="3"/>
      <c r="U41" s="3"/>
      <c r="V41" s="3">
        <v>434.6000000000001</v>
      </c>
      <c r="W41" s="3"/>
      <c r="X41" s="3"/>
      <c r="Y41" s="3">
        <v>2811.9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153415</v>
      </c>
      <c r="D42" s="2">
        <v>5701</v>
      </c>
      <c r="E42" s="2">
        <v>6493</v>
      </c>
      <c r="F42" s="2"/>
      <c r="G42" s="2"/>
      <c r="H42" s="2"/>
      <c r="I42" s="2"/>
      <c r="J42" s="2"/>
      <c r="K42" s="2"/>
      <c r="L42" s="2"/>
      <c r="M42" s="2">
        <v>101307</v>
      </c>
      <c r="N42" s="2">
        <v>120563</v>
      </c>
      <c r="O42" s="2"/>
      <c r="P42" s="2">
        <v>11383</v>
      </c>
      <c r="Q42" s="2">
        <v>10817</v>
      </c>
      <c r="R42" s="2">
        <v>12067</v>
      </c>
      <c r="S42" s="2">
        <v>320</v>
      </c>
      <c r="T42" s="2"/>
      <c r="U42" s="2">
        <v>804</v>
      </c>
      <c r="V42" s="2">
        <v>2959</v>
      </c>
      <c r="W42" s="2"/>
      <c r="X42" s="2"/>
      <c r="Y42" s="2"/>
      <c r="Z42" s="2">
        <f>SUM(C42:X42)</f>
        <v>0</v>
      </c>
    </row>
    <row r="43" spans="1:26">
      <c r="A43" s="1"/>
      <c r="B43" s="3" t="s">
        <v>27</v>
      </c>
      <c r="C43" s="3">
        <v>14610.00558019999</v>
      </c>
      <c r="D43" s="3">
        <v>1387.13</v>
      </c>
      <c r="E43" s="3">
        <v>2965.4364</v>
      </c>
      <c r="F43" s="3"/>
      <c r="G43" s="3"/>
      <c r="H43" s="3"/>
      <c r="I43" s="3"/>
      <c r="J43" s="3"/>
      <c r="K43" s="3"/>
      <c r="L43" s="3"/>
      <c r="M43" s="3">
        <v>14598.60029999999</v>
      </c>
      <c r="N43" s="3">
        <v>5933.304039883456</v>
      </c>
      <c r="O43" s="3"/>
      <c r="P43" s="3">
        <v>1342.89</v>
      </c>
      <c r="Q43" s="3">
        <v>978.0505000000001</v>
      </c>
      <c r="R43" s="3">
        <v>3776.449499999999</v>
      </c>
      <c r="S43" s="3">
        <v>41.6</v>
      </c>
      <c r="T43" s="3"/>
      <c r="U43" s="3">
        <v>96.48</v>
      </c>
      <c r="V43" s="3">
        <v>591.8000000000001</v>
      </c>
      <c r="W43" s="3"/>
      <c r="X43" s="3"/>
      <c r="Y43" s="3"/>
      <c r="Z43" s="3">
        <f>SUM(C43:X43)</f>
        <v>0</v>
      </c>
    </row>
    <row r="44" spans="1:26">
      <c r="A44" s="1" t="s">
        <v>48</v>
      </c>
      <c r="B44" s="2" t="s">
        <v>26</v>
      </c>
      <c r="C44" s="2">
        <v>96731</v>
      </c>
      <c r="D44" s="2">
        <v>800</v>
      </c>
      <c r="E44" s="2">
        <v>170</v>
      </c>
      <c r="F44" s="2"/>
      <c r="G44" s="2"/>
      <c r="H44" s="2"/>
      <c r="I44" s="2"/>
      <c r="J44" s="2"/>
      <c r="K44" s="2"/>
      <c r="L44" s="2"/>
      <c r="M44" s="2">
        <v>100114</v>
      </c>
      <c r="N44" s="2">
        <v>77252</v>
      </c>
      <c r="O44" s="2"/>
      <c r="P44" s="2">
        <v>1373</v>
      </c>
      <c r="Q44" s="2">
        <v>15317</v>
      </c>
      <c r="R44" s="2">
        <v>1455</v>
      </c>
      <c r="S44" s="2">
        <v>1619</v>
      </c>
      <c r="T44" s="2"/>
      <c r="U44" s="2">
        <v>16</v>
      </c>
      <c r="V44" s="2">
        <v>61</v>
      </c>
      <c r="W44" s="2"/>
      <c r="X44" s="2"/>
      <c r="Y44" s="2">
        <v>77771</v>
      </c>
      <c r="Z44" s="2">
        <f>SUM(C44:X44)</f>
        <v>0</v>
      </c>
    </row>
    <row r="45" spans="1:26">
      <c r="A45" s="1"/>
      <c r="B45" s="3" t="s">
        <v>27</v>
      </c>
      <c r="C45" s="3">
        <v>9285.1049724</v>
      </c>
      <c r="D45" s="3">
        <v>240.8800000000001</v>
      </c>
      <c r="E45" s="3">
        <v>81.96400000000001</v>
      </c>
      <c r="F45" s="3"/>
      <c r="G45" s="3"/>
      <c r="H45" s="3"/>
      <c r="I45" s="3"/>
      <c r="J45" s="3"/>
      <c r="K45" s="3"/>
      <c r="L45" s="3"/>
      <c r="M45" s="3">
        <v>14332.6954</v>
      </c>
      <c r="N45" s="3">
        <v>3833.63690229441</v>
      </c>
      <c r="O45" s="3"/>
      <c r="P45" s="3">
        <v>137.3</v>
      </c>
      <c r="Q45" s="3">
        <v>1363.7195</v>
      </c>
      <c r="R45" s="3">
        <v>448.1355</v>
      </c>
      <c r="S45" s="3">
        <v>210.47</v>
      </c>
      <c r="T45" s="3"/>
      <c r="U45" s="3">
        <v>1.92</v>
      </c>
      <c r="V45" s="3">
        <v>10.9251</v>
      </c>
      <c r="W45" s="3"/>
      <c r="X45" s="3"/>
      <c r="Y45" s="3">
        <v>1595.945</v>
      </c>
      <c r="Z45" s="3">
        <f>SUM(C45:X45)</f>
        <v>0</v>
      </c>
    </row>
    <row r="46" spans="1:26">
      <c r="A46" s="1" t="s">
        <v>49</v>
      </c>
      <c r="B46" s="2" t="s">
        <v>26</v>
      </c>
      <c r="C46" s="2">
        <v>134525</v>
      </c>
      <c r="D46" s="2">
        <v>8285</v>
      </c>
      <c r="E46" s="2"/>
      <c r="F46" s="2"/>
      <c r="G46" s="2"/>
      <c r="H46" s="2"/>
      <c r="I46" s="2"/>
      <c r="J46" s="2"/>
      <c r="K46" s="2"/>
      <c r="L46" s="2"/>
      <c r="M46" s="2">
        <v>100078</v>
      </c>
      <c r="N46" s="2">
        <v>96894</v>
      </c>
      <c r="O46" s="2"/>
      <c r="P46" s="2"/>
      <c r="Q46" s="2">
        <v>4838</v>
      </c>
      <c r="R46" s="2">
        <v>4119</v>
      </c>
      <c r="S46" s="2"/>
      <c r="T46" s="2"/>
      <c r="U46" s="2"/>
      <c r="V46" s="2">
        <v>2379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15184.2191</v>
      </c>
      <c r="D47" s="3">
        <v>1443.37</v>
      </c>
      <c r="E47" s="3"/>
      <c r="F47" s="3"/>
      <c r="G47" s="3"/>
      <c r="H47" s="3"/>
      <c r="I47" s="3"/>
      <c r="J47" s="3"/>
      <c r="K47" s="3"/>
      <c r="L47" s="3"/>
      <c r="M47" s="3">
        <v>13968.9904</v>
      </c>
      <c r="N47" s="3">
        <v>5963.380434031608</v>
      </c>
      <c r="O47" s="3"/>
      <c r="P47" s="3"/>
      <c r="Q47" s="3">
        <v>388.27</v>
      </c>
      <c r="R47" s="3">
        <v>795.775</v>
      </c>
      <c r="S47" s="3"/>
      <c r="T47" s="3"/>
      <c r="U47" s="3"/>
      <c r="V47" s="3">
        <v>475.7534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f>SUM(C48:X48)</f>
        <v>0</v>
      </c>
    </row>
    <row r="49" spans="1:26">
      <c r="A49" s="1"/>
      <c r="B49" s="3" t="s">
        <v>27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f>SUM(C49:X49)</f>
        <v>0</v>
      </c>
    </row>
    <row r="50" spans="1:26">
      <c r="A50" s="1" t="s">
        <v>51</v>
      </c>
      <c r="B50" s="2" t="s">
        <v>26</v>
      </c>
      <c r="C50" s="2">
        <v>383633</v>
      </c>
      <c r="D50" s="2">
        <v>7011</v>
      </c>
      <c r="E50" s="2">
        <v>3452</v>
      </c>
      <c r="F50" s="2"/>
      <c r="G50" s="2"/>
      <c r="H50" s="2"/>
      <c r="I50" s="2"/>
      <c r="J50" s="2"/>
      <c r="K50" s="2"/>
      <c r="L50" s="2"/>
      <c r="M50" s="2">
        <v>100137</v>
      </c>
      <c r="N50" s="2">
        <v>100601</v>
      </c>
      <c r="O50" s="2"/>
      <c r="P50" s="2">
        <v>3409</v>
      </c>
      <c r="Q50" s="2">
        <v>4166</v>
      </c>
      <c r="R50" s="2">
        <v>4864</v>
      </c>
      <c r="S50" s="2">
        <v>5422</v>
      </c>
      <c r="T50" s="2"/>
      <c r="U50" s="2"/>
      <c r="V50" s="2">
        <v>3428</v>
      </c>
      <c r="W50" s="2"/>
      <c r="X50" s="2"/>
      <c r="Y50" s="2"/>
      <c r="Z50" s="2">
        <f>SUM(C50:X50)</f>
        <v>0</v>
      </c>
    </row>
    <row r="51" spans="1:26">
      <c r="A51" s="1"/>
      <c r="B51" s="3" t="s">
        <v>27</v>
      </c>
      <c r="C51" s="3">
        <v>40341.76560000001</v>
      </c>
      <c r="D51" s="3">
        <v>1191.87</v>
      </c>
      <c r="E51" s="3">
        <v>1578.7374</v>
      </c>
      <c r="F51" s="3"/>
      <c r="G51" s="3"/>
      <c r="H51" s="3"/>
      <c r="I51" s="3"/>
      <c r="J51" s="3"/>
      <c r="K51" s="3"/>
      <c r="L51" s="3"/>
      <c r="M51" s="3">
        <v>14340.39999999999</v>
      </c>
      <c r="N51" s="3">
        <v>7202.940036174516</v>
      </c>
      <c r="O51" s="3"/>
      <c r="P51" s="3">
        <v>354.62</v>
      </c>
      <c r="Q51" s="3">
        <v>466.394</v>
      </c>
      <c r="R51" s="3">
        <v>995.2029999999999</v>
      </c>
      <c r="S51" s="3">
        <v>642.34</v>
      </c>
      <c r="T51" s="3"/>
      <c r="U51" s="3"/>
      <c r="V51" s="3">
        <v>820.3184000000001</v>
      </c>
      <c r="W51" s="3"/>
      <c r="X51" s="3"/>
      <c r="Y51" s="3"/>
      <c r="Z51" s="3">
        <f>SUM(C51:X51)</f>
        <v>0</v>
      </c>
    </row>
    <row r="52" spans="1:26">
      <c r="A52" s="1" t="s">
        <v>52</v>
      </c>
      <c r="B52" s="2" t="s">
        <v>26</v>
      </c>
      <c r="C52" s="2">
        <v>353428</v>
      </c>
      <c r="D52" s="2">
        <v>54535</v>
      </c>
      <c r="E52" s="2"/>
      <c r="F52" s="2"/>
      <c r="G52" s="2"/>
      <c r="H52" s="2"/>
      <c r="I52" s="2"/>
      <c r="J52" s="2"/>
      <c r="K52" s="2"/>
      <c r="L52" s="2"/>
      <c r="M52" s="2">
        <v>50712</v>
      </c>
      <c r="N52" s="2">
        <v>53711</v>
      </c>
      <c r="O52" s="2"/>
      <c r="P52" s="2">
        <v>6425</v>
      </c>
      <c r="Q52" s="2">
        <v>8535</v>
      </c>
      <c r="R52" s="2">
        <v>2948</v>
      </c>
      <c r="S52" s="2">
        <v>16837</v>
      </c>
      <c r="T52" s="2"/>
      <c r="U52" s="2"/>
      <c r="V52" s="2">
        <v>544</v>
      </c>
      <c r="W52" s="2"/>
      <c r="X52" s="2"/>
      <c r="Y52" s="2">
        <v>208</v>
      </c>
      <c r="Z52" s="2">
        <f>SUM(C52:X52)</f>
        <v>0</v>
      </c>
    </row>
    <row r="53" spans="1:26">
      <c r="A53" s="1"/>
      <c r="B53" s="3" t="s">
        <v>27</v>
      </c>
      <c r="C53" s="3">
        <v>37798.3632</v>
      </c>
      <c r="D53" s="3">
        <v>10700.226</v>
      </c>
      <c r="E53" s="3"/>
      <c r="F53" s="3"/>
      <c r="G53" s="3"/>
      <c r="H53" s="3"/>
      <c r="I53" s="3"/>
      <c r="J53" s="3"/>
      <c r="K53" s="3"/>
      <c r="L53" s="3"/>
      <c r="M53" s="3">
        <v>7134.716600000001</v>
      </c>
      <c r="N53" s="3">
        <v>2812.782600000001</v>
      </c>
      <c r="O53" s="3"/>
      <c r="P53" s="3">
        <v>972.0599999999999</v>
      </c>
      <c r="Q53" s="3">
        <v>1026.96</v>
      </c>
      <c r="R53" s="3">
        <v>664.3499999999999</v>
      </c>
      <c r="S53" s="3">
        <v>2281.04</v>
      </c>
      <c r="T53" s="3"/>
      <c r="U53" s="3"/>
      <c r="V53" s="3">
        <v>95.184</v>
      </c>
      <c r="W53" s="3"/>
      <c r="X53" s="3"/>
      <c r="Y53" s="3">
        <v>16.64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310066</v>
      </c>
      <c r="D54" s="2">
        <v>42421</v>
      </c>
      <c r="E54" s="2"/>
      <c r="F54" s="2"/>
      <c r="G54" s="2"/>
      <c r="H54" s="2"/>
      <c r="I54" s="2"/>
      <c r="J54" s="2"/>
      <c r="K54" s="2"/>
      <c r="L54" s="2"/>
      <c r="M54" s="2">
        <v>80311</v>
      </c>
      <c r="N54" s="2">
        <v>155953</v>
      </c>
      <c r="O54" s="2"/>
      <c r="P54" s="2">
        <v>13189</v>
      </c>
      <c r="Q54" s="2">
        <v>14078</v>
      </c>
      <c r="R54" s="2">
        <v>5811</v>
      </c>
      <c r="S54" s="2">
        <v>4833</v>
      </c>
      <c r="T54" s="2"/>
      <c r="U54" s="2">
        <v>875</v>
      </c>
      <c r="V54" s="2">
        <v>2600</v>
      </c>
      <c r="W54" s="2"/>
      <c r="X54" s="2"/>
      <c r="Y54" s="2"/>
      <c r="Z54" s="2">
        <f>SUM(C54:X54)</f>
        <v>0</v>
      </c>
    </row>
    <row r="55" spans="1:26">
      <c r="A55" s="1"/>
      <c r="B55" s="3" t="s">
        <v>27</v>
      </c>
      <c r="C55" s="3">
        <v>31484.25515</v>
      </c>
      <c r="D55" s="3">
        <v>7510.045</v>
      </c>
      <c r="E55" s="3"/>
      <c r="F55" s="3"/>
      <c r="G55" s="3"/>
      <c r="H55" s="3"/>
      <c r="I55" s="3"/>
      <c r="J55" s="3"/>
      <c r="K55" s="3"/>
      <c r="L55" s="3"/>
      <c r="M55" s="3">
        <v>11270.7761</v>
      </c>
      <c r="N55" s="3">
        <v>8225.0363</v>
      </c>
      <c r="O55" s="3"/>
      <c r="P55" s="3">
        <v>2291.56</v>
      </c>
      <c r="Q55" s="3">
        <v>1584.249</v>
      </c>
      <c r="R55" s="3">
        <v>1397.585</v>
      </c>
      <c r="S55" s="3">
        <v>631.6599999999999</v>
      </c>
      <c r="T55" s="3"/>
      <c r="U55" s="3">
        <v>144.375</v>
      </c>
      <c r="V55" s="3">
        <v>953.0000000000001</v>
      </c>
      <c r="W55" s="3"/>
      <c r="X55" s="3"/>
      <c r="Y55" s="3"/>
      <c r="Z55" s="3">
        <f>SUM(C55:X55)</f>
        <v>0</v>
      </c>
    </row>
    <row r="56" spans="1:26">
      <c r="A56" s="1" t="s">
        <v>54</v>
      </c>
      <c r="B56" s="2" t="s">
        <v>26</v>
      </c>
      <c r="C56" s="2">
        <v>354229</v>
      </c>
      <c r="D56" s="2">
        <v>17502</v>
      </c>
      <c r="E56" s="2">
        <v>3994</v>
      </c>
      <c r="F56" s="2"/>
      <c r="G56" s="2"/>
      <c r="H56" s="2"/>
      <c r="I56" s="2"/>
      <c r="J56" s="2"/>
      <c r="K56" s="2"/>
      <c r="L56" s="2"/>
      <c r="M56" s="2">
        <v>80387</v>
      </c>
      <c r="N56" s="2">
        <v>160051</v>
      </c>
      <c r="O56" s="2"/>
      <c r="P56" s="2">
        <v>13792</v>
      </c>
      <c r="Q56" s="2">
        <v>354</v>
      </c>
      <c r="R56" s="2">
        <v>8736</v>
      </c>
      <c r="S56" s="2">
        <v>2020</v>
      </c>
      <c r="T56" s="2"/>
      <c r="U56" s="2">
        <v>1650</v>
      </c>
      <c r="V56" s="2"/>
      <c r="W56" s="2"/>
      <c r="X56" s="2"/>
      <c r="Y56" s="2">
        <v>100000</v>
      </c>
      <c r="Z56" s="2">
        <f>SUM(C56:X56)</f>
        <v>0</v>
      </c>
    </row>
    <row r="57" spans="1:26">
      <c r="A57" s="1"/>
      <c r="B57" s="3" t="s">
        <v>27</v>
      </c>
      <c r="C57" s="3">
        <v>39847.0733</v>
      </c>
      <c r="D57" s="3">
        <v>3046.933999999999</v>
      </c>
      <c r="E57" s="3">
        <v>2578.205</v>
      </c>
      <c r="F57" s="3"/>
      <c r="G57" s="3"/>
      <c r="H57" s="3"/>
      <c r="I57" s="3"/>
      <c r="J57" s="3"/>
      <c r="K57" s="3"/>
      <c r="L57" s="3"/>
      <c r="M57" s="3">
        <v>11388.63399999999</v>
      </c>
      <c r="N57" s="3">
        <v>7769.530200000004</v>
      </c>
      <c r="O57" s="3"/>
      <c r="P57" s="3">
        <v>2336.590000000001</v>
      </c>
      <c r="Q57" s="3">
        <v>42.434</v>
      </c>
      <c r="R57" s="3">
        <v>2036.333</v>
      </c>
      <c r="S57" s="3">
        <v>250.4</v>
      </c>
      <c r="T57" s="3"/>
      <c r="U57" s="3">
        <v>272.25</v>
      </c>
      <c r="V57" s="3"/>
      <c r="W57" s="3"/>
      <c r="X57" s="3"/>
      <c r="Y57" s="3">
        <v>3100</v>
      </c>
      <c r="Z57" s="3">
        <f>SUM(C57:X57)</f>
        <v>0</v>
      </c>
    </row>
    <row r="58" spans="1:26">
      <c r="A58" s="1" t="s">
        <v>55</v>
      </c>
      <c r="B58" s="2" t="s">
        <v>26</v>
      </c>
      <c r="C58" s="2">
        <v>225102</v>
      </c>
      <c r="D58" s="2">
        <v>8303</v>
      </c>
      <c r="E58" s="2">
        <v>333</v>
      </c>
      <c r="F58" s="2"/>
      <c r="G58" s="2"/>
      <c r="H58" s="2"/>
      <c r="I58" s="2"/>
      <c r="J58" s="2"/>
      <c r="K58" s="2"/>
      <c r="L58" s="2"/>
      <c r="M58" s="2">
        <v>80423</v>
      </c>
      <c r="N58" s="2">
        <v>190604</v>
      </c>
      <c r="O58" s="2"/>
      <c r="P58" s="2">
        <v>25695</v>
      </c>
      <c r="Q58" s="2">
        <v>6097</v>
      </c>
      <c r="R58" s="2">
        <v>758</v>
      </c>
      <c r="S58" s="2">
        <v>15662</v>
      </c>
      <c r="T58" s="2"/>
      <c r="U58" s="2">
        <v>864</v>
      </c>
      <c r="V58" s="2">
        <v>766</v>
      </c>
      <c r="W58" s="2"/>
      <c r="X58" s="2"/>
      <c r="Y58" s="2">
        <v>4500</v>
      </c>
      <c r="Z58" s="2">
        <f>SUM(C58:X58)</f>
        <v>0</v>
      </c>
    </row>
    <row r="59" spans="1:26">
      <c r="A59" s="1"/>
      <c r="B59" s="3" t="s">
        <v>27</v>
      </c>
      <c r="C59" s="3">
        <v>25347.5284</v>
      </c>
      <c r="D59" s="3">
        <v>2409.291</v>
      </c>
      <c r="E59" s="3">
        <v>231.435</v>
      </c>
      <c r="F59" s="3"/>
      <c r="G59" s="3"/>
      <c r="H59" s="3"/>
      <c r="I59" s="3"/>
      <c r="J59" s="3"/>
      <c r="K59" s="3"/>
      <c r="L59" s="3"/>
      <c r="M59" s="3">
        <v>11512.178</v>
      </c>
      <c r="N59" s="3">
        <v>9499.2299</v>
      </c>
      <c r="O59" s="3"/>
      <c r="P59" s="3">
        <v>3175.51</v>
      </c>
      <c r="Q59" s="3">
        <v>598.846</v>
      </c>
      <c r="R59" s="3">
        <v>175.016</v>
      </c>
      <c r="S59" s="3">
        <v>2192.68</v>
      </c>
      <c r="T59" s="3"/>
      <c r="U59" s="3">
        <v>142.56</v>
      </c>
      <c r="V59" s="3">
        <v>236.78</v>
      </c>
      <c r="W59" s="3"/>
      <c r="X59" s="3"/>
      <c r="Y59" s="3"/>
      <c r="Z59" s="3">
        <f>SUM(C59:X59)</f>
        <v>0</v>
      </c>
    </row>
    <row r="60" spans="1:26">
      <c r="A60" s="1" t="s">
        <v>56</v>
      </c>
      <c r="B60" s="2" t="s">
        <v>26</v>
      </c>
      <c r="C60" s="2">
        <v>116509</v>
      </c>
      <c r="D60" s="2">
        <v>40594</v>
      </c>
      <c r="E60" s="2"/>
      <c r="F60" s="2"/>
      <c r="G60" s="2"/>
      <c r="H60" s="2"/>
      <c r="I60" s="2"/>
      <c r="J60" s="2"/>
      <c r="K60" s="2"/>
      <c r="L60" s="2"/>
      <c r="M60" s="2">
        <v>80192</v>
      </c>
      <c r="N60" s="2">
        <v>202937</v>
      </c>
      <c r="O60" s="2"/>
      <c r="P60" s="2">
        <v>17860</v>
      </c>
      <c r="Q60" s="2">
        <v>4940</v>
      </c>
      <c r="R60" s="2">
        <v>8380</v>
      </c>
      <c r="S60" s="2">
        <v>910</v>
      </c>
      <c r="T60" s="2"/>
      <c r="U60" s="2">
        <v>8687</v>
      </c>
      <c r="V60" s="2">
        <v>7889</v>
      </c>
      <c r="W60" s="2"/>
      <c r="X60" s="2"/>
      <c r="Y60" s="2"/>
      <c r="Z60" s="2">
        <f>SUM(C60:X60)</f>
        <v>0</v>
      </c>
    </row>
    <row r="61" spans="1:26">
      <c r="A61" s="1"/>
      <c r="B61" s="3" t="s">
        <v>27</v>
      </c>
      <c r="C61" s="3">
        <v>12117.373</v>
      </c>
      <c r="D61" s="3">
        <v>7606.530500000001</v>
      </c>
      <c r="E61" s="3"/>
      <c r="F61" s="3"/>
      <c r="G61" s="3"/>
      <c r="H61" s="3"/>
      <c r="I61" s="3"/>
      <c r="J61" s="3"/>
      <c r="K61" s="3"/>
      <c r="L61" s="3"/>
      <c r="M61" s="3">
        <v>11356.12059999999</v>
      </c>
      <c r="N61" s="3">
        <v>9029.616300000002</v>
      </c>
      <c r="O61" s="3"/>
      <c r="P61" s="3">
        <v>2680.8042</v>
      </c>
      <c r="Q61" s="3">
        <v>484.746</v>
      </c>
      <c r="R61" s="3">
        <v>1832.1036</v>
      </c>
      <c r="S61" s="3">
        <v>127.4</v>
      </c>
      <c r="T61" s="3"/>
      <c r="U61" s="3">
        <v>1303.05</v>
      </c>
      <c r="V61" s="3">
        <v>1596.28</v>
      </c>
      <c r="W61" s="3"/>
      <c r="X61" s="3"/>
      <c r="Y61" s="3"/>
      <c r="Z61" s="3">
        <f>SUM(C61:X61)</f>
        <v>0</v>
      </c>
    </row>
    <row r="62" spans="1:26">
      <c r="A62" s="1" t="s">
        <v>57</v>
      </c>
      <c r="B62" s="2" t="s">
        <v>26</v>
      </c>
      <c r="C62" s="2">
        <v>356343</v>
      </c>
      <c r="D62" s="2">
        <v>24046</v>
      </c>
      <c r="E62" s="2">
        <v>2553</v>
      </c>
      <c r="F62" s="2"/>
      <c r="G62" s="2"/>
      <c r="H62" s="2"/>
      <c r="I62" s="2"/>
      <c r="J62" s="2"/>
      <c r="K62" s="2"/>
      <c r="L62" s="2"/>
      <c r="M62" s="2">
        <v>60694</v>
      </c>
      <c r="N62" s="2">
        <v>224779</v>
      </c>
      <c r="O62" s="2"/>
      <c r="P62" s="2">
        <v>6463</v>
      </c>
      <c r="Q62" s="2"/>
      <c r="R62" s="2">
        <v>2530</v>
      </c>
      <c r="S62" s="2">
        <v>605</v>
      </c>
      <c r="T62" s="2"/>
      <c r="U62" s="2">
        <v>10623</v>
      </c>
      <c r="V62" s="2">
        <v>7228</v>
      </c>
      <c r="W62" s="2"/>
      <c r="X62" s="2"/>
      <c r="Y62" s="2"/>
      <c r="Z62" s="2">
        <f>SUM(C62:X62)</f>
        <v>0</v>
      </c>
    </row>
    <row r="63" spans="1:26">
      <c r="A63" s="1"/>
      <c r="B63" s="3" t="s">
        <v>27</v>
      </c>
      <c r="C63" s="3">
        <v>35044.99939999997</v>
      </c>
      <c r="D63" s="3">
        <v>5790.834000000001</v>
      </c>
      <c r="E63" s="3">
        <v>1306.71</v>
      </c>
      <c r="F63" s="3"/>
      <c r="G63" s="3"/>
      <c r="H63" s="3"/>
      <c r="I63" s="3"/>
      <c r="J63" s="3"/>
      <c r="K63" s="3"/>
      <c r="L63" s="3"/>
      <c r="M63" s="3">
        <v>8608.725600000002</v>
      </c>
      <c r="N63" s="3">
        <v>11584.5215</v>
      </c>
      <c r="O63" s="3"/>
      <c r="P63" s="3">
        <v>681.46</v>
      </c>
      <c r="Q63" s="3"/>
      <c r="R63" s="3">
        <v>434.178</v>
      </c>
      <c r="S63" s="3">
        <v>57.475</v>
      </c>
      <c r="T63" s="3"/>
      <c r="U63" s="3">
        <v>1593.45</v>
      </c>
      <c r="V63" s="3">
        <v>1494.12</v>
      </c>
      <c r="W63" s="3"/>
      <c r="X63" s="3"/>
      <c r="Y63" s="3"/>
      <c r="Z63" s="3">
        <f>SUM(C63:X63)</f>
        <v>0</v>
      </c>
    </row>
    <row r="64" spans="1:26">
      <c r="A64" s="1" t="s">
        <v>58</v>
      </c>
      <c r="B64" s="2" t="s">
        <v>26</v>
      </c>
      <c r="C64" s="2">
        <v>291999</v>
      </c>
      <c r="D64" s="2">
        <v>20999</v>
      </c>
      <c r="E64" s="2"/>
      <c r="F64" s="2"/>
      <c r="G64" s="2"/>
      <c r="H64" s="2"/>
      <c r="I64" s="2"/>
      <c r="J64" s="2"/>
      <c r="K64" s="2"/>
      <c r="L64" s="2"/>
      <c r="M64" s="2">
        <v>40188</v>
      </c>
      <c r="N64" s="2">
        <v>125551</v>
      </c>
      <c r="O64" s="2"/>
      <c r="P64" s="2">
        <v>8</v>
      </c>
      <c r="Q64" s="2">
        <v>5995</v>
      </c>
      <c r="R64" s="2">
        <v>5023</v>
      </c>
      <c r="S64" s="2"/>
      <c r="T64" s="2"/>
      <c r="U64" s="2">
        <v>14531</v>
      </c>
      <c r="V64" s="2">
        <v>4856</v>
      </c>
      <c r="W64" s="2"/>
      <c r="X64" s="2"/>
      <c r="Y64" s="2"/>
      <c r="Z64" s="2">
        <f>SUM(C64:X64)</f>
        <v>0</v>
      </c>
    </row>
    <row r="65" spans="1:26">
      <c r="A65" s="1"/>
      <c r="B65" s="3" t="s">
        <v>27</v>
      </c>
      <c r="C65" s="3">
        <v>31312.49454999996</v>
      </c>
      <c r="D65" s="3">
        <v>3764.262</v>
      </c>
      <c r="E65" s="3"/>
      <c r="F65" s="3"/>
      <c r="G65" s="3"/>
      <c r="H65" s="3"/>
      <c r="I65" s="3"/>
      <c r="J65" s="3"/>
      <c r="K65" s="3"/>
      <c r="L65" s="3"/>
      <c r="M65" s="3">
        <v>5763.745999999999</v>
      </c>
      <c r="N65" s="3">
        <v>5957.651500000001</v>
      </c>
      <c r="O65" s="3"/>
      <c r="P65" s="3">
        <v>0.96</v>
      </c>
      <c r="Q65" s="3">
        <v>565.855</v>
      </c>
      <c r="R65" s="3">
        <v>1069.5098</v>
      </c>
      <c r="S65" s="3"/>
      <c r="T65" s="3"/>
      <c r="U65" s="3">
        <v>2179.65</v>
      </c>
      <c r="V65" s="3">
        <v>1010.66</v>
      </c>
      <c r="W65" s="3"/>
      <c r="X65" s="3"/>
      <c r="Y65" s="3"/>
      <c r="Z65" s="3">
        <f>SUM(C65:X65)</f>
        <v>0</v>
      </c>
    </row>
    <row r="66" spans="1:26">
      <c r="A66" s="1" t="s">
        <v>59</v>
      </c>
      <c r="B66" s="2" t="s">
        <v>26</v>
      </c>
      <c r="C66" s="2">
        <v>513449</v>
      </c>
      <c r="D66" s="2">
        <v>3088</v>
      </c>
      <c r="E66" s="2"/>
      <c r="F66" s="2"/>
      <c r="G66" s="2"/>
      <c r="H66" s="2"/>
      <c r="I66" s="2"/>
      <c r="J66" s="2"/>
      <c r="K66" s="2"/>
      <c r="L66" s="2"/>
      <c r="M66" s="2">
        <v>40081</v>
      </c>
      <c r="N66" s="2">
        <v>179120</v>
      </c>
      <c r="O66" s="2"/>
      <c r="P66" s="2">
        <v>6963</v>
      </c>
      <c r="Q66" s="2">
        <v>23368</v>
      </c>
      <c r="R66" s="2">
        <v>11687</v>
      </c>
      <c r="S66" s="2">
        <v>9998</v>
      </c>
      <c r="T66" s="2"/>
      <c r="U66" s="2">
        <v>4968</v>
      </c>
      <c r="V66" s="2">
        <v>4728</v>
      </c>
      <c r="W66" s="2"/>
      <c r="X66" s="2"/>
      <c r="Y66" s="2">
        <v>7000</v>
      </c>
      <c r="Z66" s="2">
        <f>SUM(C66:X66)</f>
        <v>0</v>
      </c>
    </row>
    <row r="67" spans="1:26">
      <c r="A67" s="1"/>
      <c r="B67" s="3" t="s">
        <v>27</v>
      </c>
      <c r="C67" s="3">
        <v>52608.80824999995</v>
      </c>
      <c r="D67" s="3">
        <v>524.96</v>
      </c>
      <c r="E67" s="3"/>
      <c r="F67" s="3"/>
      <c r="G67" s="3"/>
      <c r="H67" s="3"/>
      <c r="I67" s="3"/>
      <c r="J67" s="3"/>
      <c r="K67" s="3"/>
      <c r="L67" s="3"/>
      <c r="M67" s="3">
        <v>5679.7934</v>
      </c>
      <c r="N67" s="3">
        <v>11889.6357</v>
      </c>
      <c r="O67" s="3"/>
      <c r="P67" s="3">
        <v>835.5400000000001</v>
      </c>
      <c r="Q67" s="3">
        <v>2200.1538</v>
      </c>
      <c r="R67" s="3">
        <v>2698.3228</v>
      </c>
      <c r="S67" s="3">
        <v>774.845</v>
      </c>
      <c r="T67" s="3"/>
      <c r="U67" s="3">
        <v>745.1999999999999</v>
      </c>
      <c r="V67" s="3">
        <v>969.5599999999998</v>
      </c>
      <c r="W67" s="3"/>
      <c r="X67" s="3"/>
      <c r="Y67" s="3"/>
      <c r="Z67" s="3">
        <f>SUM(C67:X67)</f>
        <v>0</v>
      </c>
    </row>
    <row r="68" spans="1:26">
      <c r="A68" s="1" t="s">
        <v>60</v>
      </c>
      <c r="B68" s="2" t="s">
        <v>26</v>
      </c>
      <c r="C68" s="2">
        <v>319574</v>
      </c>
      <c r="D68" s="2">
        <v>2552</v>
      </c>
      <c r="E68" s="2"/>
      <c r="F68" s="2"/>
      <c r="G68" s="2"/>
      <c r="H68" s="2"/>
      <c r="I68" s="2"/>
      <c r="J68" s="2"/>
      <c r="K68" s="2"/>
      <c r="L68" s="2"/>
      <c r="M68" s="2">
        <v>50095</v>
      </c>
      <c r="N68" s="2">
        <v>206411</v>
      </c>
      <c r="O68" s="2"/>
      <c r="P68" s="2">
        <v>10289</v>
      </c>
      <c r="Q68" s="2">
        <v>31121</v>
      </c>
      <c r="R68" s="2">
        <v>11733</v>
      </c>
      <c r="S68" s="2">
        <v>16572</v>
      </c>
      <c r="T68" s="2"/>
      <c r="U68" s="2">
        <v>2884</v>
      </c>
      <c r="V68" s="2">
        <v>8532</v>
      </c>
      <c r="W68" s="2"/>
      <c r="X68" s="2"/>
      <c r="Y68" s="2"/>
      <c r="Z68" s="2">
        <f>SUM(C68:X68)</f>
        <v>0</v>
      </c>
    </row>
    <row r="69" spans="1:26">
      <c r="A69" s="1"/>
      <c r="B69" s="3" t="s">
        <v>27</v>
      </c>
      <c r="C69" s="3">
        <v>33684.19170000002</v>
      </c>
      <c r="D69" s="3">
        <v>433.84</v>
      </c>
      <c r="E69" s="3"/>
      <c r="F69" s="3"/>
      <c r="G69" s="3"/>
      <c r="H69" s="3"/>
      <c r="I69" s="3"/>
      <c r="J69" s="3"/>
      <c r="K69" s="3"/>
      <c r="L69" s="3"/>
      <c r="M69" s="3">
        <v>7206.748600000004</v>
      </c>
      <c r="N69" s="3">
        <v>11533.23605000001</v>
      </c>
      <c r="O69" s="3"/>
      <c r="P69" s="3">
        <v>1038.12</v>
      </c>
      <c r="Q69" s="3">
        <v>4664.356600000001</v>
      </c>
      <c r="R69" s="3">
        <v>2610.440800000001</v>
      </c>
      <c r="S69" s="3">
        <v>1284.33</v>
      </c>
      <c r="T69" s="3"/>
      <c r="U69" s="3">
        <v>432.6</v>
      </c>
      <c r="V69" s="3">
        <v>2341.0593</v>
      </c>
      <c r="W69" s="3"/>
      <c r="X69" s="3"/>
      <c r="Y69" s="3"/>
      <c r="Z69" s="3">
        <f>SUM(C69:X69)</f>
        <v>0</v>
      </c>
    </row>
    <row r="70" spans="1:26">
      <c r="A70" s="1" t="s">
        <v>61</v>
      </c>
      <c r="B70" s="2" t="s">
        <v>26</v>
      </c>
      <c r="C70" s="2">
        <v>240759</v>
      </c>
      <c r="D70" s="2"/>
      <c r="E70" s="2"/>
      <c r="F70" s="2"/>
      <c r="G70" s="2"/>
      <c r="H70" s="2"/>
      <c r="I70" s="2"/>
      <c r="J70" s="2"/>
      <c r="K70" s="2"/>
      <c r="L70" s="2"/>
      <c r="M70" s="2">
        <v>50114</v>
      </c>
      <c r="N70" s="2">
        <v>108510</v>
      </c>
      <c r="O70" s="2"/>
      <c r="P70" s="2">
        <v>18406</v>
      </c>
      <c r="Q70" s="2">
        <v>3411</v>
      </c>
      <c r="R70" s="2">
        <v>18249</v>
      </c>
      <c r="S70" s="2">
        <v>24564</v>
      </c>
      <c r="T70" s="2"/>
      <c r="U70" s="2">
        <v>161</v>
      </c>
      <c r="V70" s="2">
        <v>7132</v>
      </c>
      <c r="W70" s="2"/>
      <c r="X70" s="2"/>
      <c r="Y70" s="2">
        <v>286989</v>
      </c>
      <c r="Z70" s="2">
        <f>SUM(C70:X70)</f>
        <v>0</v>
      </c>
    </row>
    <row r="71" spans="1:26">
      <c r="A71" s="1"/>
      <c r="B71" s="3" t="s">
        <v>27</v>
      </c>
      <c r="C71" s="3">
        <v>26886.41709999999</v>
      </c>
      <c r="D71" s="3"/>
      <c r="E71" s="3"/>
      <c r="F71" s="3"/>
      <c r="G71" s="3"/>
      <c r="H71" s="3"/>
      <c r="I71" s="3"/>
      <c r="J71" s="3"/>
      <c r="K71" s="3"/>
      <c r="L71" s="3"/>
      <c r="M71" s="3">
        <v>7390.527499999997</v>
      </c>
      <c r="N71" s="3">
        <v>4968.395799999999</v>
      </c>
      <c r="O71" s="3"/>
      <c r="P71" s="3">
        <v>1987.695</v>
      </c>
      <c r="Q71" s="3">
        <v>884.8019999999999</v>
      </c>
      <c r="R71" s="3">
        <v>5026.512</v>
      </c>
      <c r="S71" s="3">
        <v>1903.71</v>
      </c>
      <c r="T71" s="3"/>
      <c r="U71" s="3">
        <v>24.15</v>
      </c>
      <c r="V71" s="3">
        <v>1962.2001</v>
      </c>
      <c r="W71" s="3"/>
      <c r="X71" s="3"/>
      <c r="Y71" s="3">
        <v>9470.637000000004</v>
      </c>
      <c r="Z71" s="3">
        <f>SUM(C71:X71)</f>
        <v>0</v>
      </c>
    </row>
    <row r="72" spans="1:26">
      <c r="A72" s="1" t="s">
        <v>62</v>
      </c>
      <c r="B72" s="2" t="s">
        <v>26</v>
      </c>
      <c r="C72" s="2">
        <v>239192</v>
      </c>
      <c r="D72" s="2"/>
      <c r="E72" s="2"/>
      <c r="F72" s="2"/>
      <c r="G72" s="2"/>
      <c r="H72" s="2"/>
      <c r="I72" s="2"/>
      <c r="J72" s="2"/>
      <c r="K72" s="2"/>
      <c r="L72" s="2"/>
      <c r="M72" s="2">
        <v>50103</v>
      </c>
      <c r="N72" s="2">
        <v>100804</v>
      </c>
      <c r="O72" s="2"/>
      <c r="P72" s="2">
        <v>17677</v>
      </c>
      <c r="Q72" s="2">
        <v>15704</v>
      </c>
      <c r="R72" s="2">
        <v>21990</v>
      </c>
      <c r="S72" s="2">
        <v>2458</v>
      </c>
      <c r="T72" s="2"/>
      <c r="U72" s="2">
        <v>12688</v>
      </c>
      <c r="V72" s="2">
        <v>7326</v>
      </c>
      <c r="W72" s="2"/>
      <c r="X72" s="2"/>
      <c r="Y72" s="2">
        <v>80996</v>
      </c>
      <c r="Z72" s="2">
        <f>SUM(C72:X72)</f>
        <v>0</v>
      </c>
    </row>
    <row r="73" spans="1:26">
      <c r="A73" s="1"/>
      <c r="B73" s="3" t="s">
        <v>27</v>
      </c>
      <c r="C73" s="3">
        <v>24123.95149999997</v>
      </c>
      <c r="D73" s="3"/>
      <c r="E73" s="3"/>
      <c r="F73" s="3"/>
      <c r="G73" s="3"/>
      <c r="H73" s="3"/>
      <c r="I73" s="3"/>
      <c r="J73" s="3"/>
      <c r="K73" s="3"/>
      <c r="L73" s="3"/>
      <c r="M73" s="3">
        <v>7423.5752</v>
      </c>
      <c r="N73" s="3">
        <v>5204.019</v>
      </c>
      <c r="O73" s="3"/>
      <c r="P73" s="3">
        <v>2352.695</v>
      </c>
      <c r="Q73" s="3">
        <v>3602.5485</v>
      </c>
      <c r="R73" s="3">
        <v>5229.898999999999</v>
      </c>
      <c r="S73" s="3">
        <v>190.495</v>
      </c>
      <c r="T73" s="3"/>
      <c r="U73" s="3">
        <v>1934.073</v>
      </c>
      <c r="V73" s="3">
        <v>1962.4914</v>
      </c>
      <c r="W73" s="3"/>
      <c r="X73" s="3"/>
      <c r="Y73" s="3">
        <v>2672.868000000002</v>
      </c>
      <c r="Z73" s="3">
        <f>SUM(C73:X73)</f>
        <v>0</v>
      </c>
    </row>
    <row r="74" spans="1:26">
      <c r="A74" s="1" t="s">
        <v>63</v>
      </c>
      <c r="B74" s="2" t="s">
        <v>26</v>
      </c>
      <c r="C74" s="2">
        <v>273296</v>
      </c>
      <c r="D74" s="2">
        <v>3760</v>
      </c>
      <c r="E74" s="2"/>
      <c r="F74" s="2"/>
      <c r="G74" s="2"/>
      <c r="H74" s="2"/>
      <c r="I74" s="2"/>
      <c r="J74" s="2"/>
      <c r="K74" s="2"/>
      <c r="L74" s="2"/>
      <c r="M74" s="2">
        <v>40707</v>
      </c>
      <c r="N74" s="2">
        <v>74341</v>
      </c>
      <c r="O74" s="2"/>
      <c r="P74" s="2">
        <v>10366</v>
      </c>
      <c r="Q74" s="2">
        <v>10941</v>
      </c>
      <c r="R74" s="2">
        <v>10173</v>
      </c>
      <c r="S74" s="2">
        <v>15576</v>
      </c>
      <c r="T74" s="2"/>
      <c r="U74" s="2">
        <v>12085</v>
      </c>
      <c r="V74" s="2">
        <v>10825</v>
      </c>
      <c r="W74" s="2"/>
      <c r="X74" s="2"/>
      <c r="Y74" s="2"/>
      <c r="Z74" s="2">
        <f>SUM(C74:X74)</f>
        <v>0</v>
      </c>
    </row>
    <row r="75" spans="1:26">
      <c r="A75" s="1"/>
      <c r="B75" s="3" t="s">
        <v>27</v>
      </c>
      <c r="C75" s="3">
        <v>26940.6155</v>
      </c>
      <c r="D75" s="3">
        <v>675.1999999999999</v>
      </c>
      <c r="E75" s="3"/>
      <c r="F75" s="3"/>
      <c r="G75" s="3"/>
      <c r="H75" s="3"/>
      <c r="I75" s="3"/>
      <c r="J75" s="3"/>
      <c r="K75" s="3"/>
      <c r="L75" s="3"/>
      <c r="M75" s="3">
        <v>6443.826900000004</v>
      </c>
      <c r="N75" s="3">
        <v>3771.6511</v>
      </c>
      <c r="O75" s="3"/>
      <c r="P75" s="3">
        <v>1430.036</v>
      </c>
      <c r="Q75" s="3">
        <v>2283.3395</v>
      </c>
      <c r="R75" s="3">
        <v>2363.659000000001</v>
      </c>
      <c r="S75" s="3">
        <v>1207.14</v>
      </c>
      <c r="T75" s="3"/>
      <c r="U75" s="3">
        <v>1720.98</v>
      </c>
      <c r="V75" s="3">
        <v>3174.9771</v>
      </c>
      <c r="W75" s="3"/>
      <c r="X75" s="3"/>
      <c r="Y75" s="3"/>
      <c r="Z75" s="3">
        <f>SUM(C75:X75)</f>
        <v>0</v>
      </c>
    </row>
    <row r="76" spans="1:26">
      <c r="A76" s="1" t="s">
        <v>64</v>
      </c>
      <c r="B76" s="2" t="s">
        <v>26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>
        <f>SUM(C76:X76)</f>
        <v>0</v>
      </c>
    </row>
    <row r="77" spans="1:26">
      <c r="A77" s="1"/>
      <c r="B77" s="3" t="s">
        <v>27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f>SUM(C77:X77)</f>
        <v>0</v>
      </c>
    </row>
    <row r="78" spans="1:26">
      <c r="A78" s="1" t="s">
        <v>65</v>
      </c>
      <c r="B78" s="2" t="s">
        <v>26</v>
      </c>
      <c r="C78" s="2">
        <v>257116</v>
      </c>
      <c r="D78" s="2">
        <v>5085</v>
      </c>
      <c r="E78" s="2">
        <v>4449</v>
      </c>
      <c r="F78" s="2"/>
      <c r="G78" s="2"/>
      <c r="H78" s="2"/>
      <c r="I78" s="2"/>
      <c r="J78" s="2"/>
      <c r="K78" s="2"/>
      <c r="L78" s="2"/>
      <c r="M78" s="2">
        <v>30070</v>
      </c>
      <c r="N78" s="2">
        <v>81619</v>
      </c>
      <c r="O78" s="2"/>
      <c r="P78" s="2"/>
      <c r="Q78" s="2">
        <v>16795</v>
      </c>
      <c r="R78" s="2">
        <v>10144</v>
      </c>
      <c r="S78" s="2">
        <v>7129</v>
      </c>
      <c r="T78" s="2"/>
      <c r="U78" s="2">
        <v>1758</v>
      </c>
      <c r="V78" s="2">
        <v>13664</v>
      </c>
      <c r="W78" s="2"/>
      <c r="X78" s="2"/>
      <c r="Y78" s="2">
        <v>1500</v>
      </c>
      <c r="Z78" s="2">
        <f>SUM(C78:X78)</f>
        <v>0</v>
      </c>
    </row>
    <row r="79" spans="1:26">
      <c r="A79" s="1"/>
      <c r="B79" s="3" t="s">
        <v>27</v>
      </c>
      <c r="C79" s="3">
        <v>27671.70700000001</v>
      </c>
      <c r="D79" s="3">
        <v>1037.17</v>
      </c>
      <c r="E79" s="3">
        <v>2105.1948</v>
      </c>
      <c r="F79" s="3"/>
      <c r="G79" s="3"/>
      <c r="H79" s="3"/>
      <c r="I79" s="3"/>
      <c r="J79" s="3"/>
      <c r="K79" s="3"/>
      <c r="L79" s="3"/>
      <c r="M79" s="3">
        <v>4513.854600000001</v>
      </c>
      <c r="N79" s="3">
        <v>4483.393300000001</v>
      </c>
      <c r="O79" s="3"/>
      <c r="P79" s="3"/>
      <c r="Q79" s="3">
        <v>3755.866</v>
      </c>
      <c r="R79" s="3">
        <v>2347.053</v>
      </c>
      <c r="S79" s="3">
        <v>552.4975000000001</v>
      </c>
      <c r="T79" s="3"/>
      <c r="U79" s="3">
        <v>202.17</v>
      </c>
      <c r="V79" s="3">
        <v>3875.239500000001</v>
      </c>
      <c r="W79" s="3"/>
      <c r="X79" s="3"/>
      <c r="Y79" s="3"/>
      <c r="Z79" s="3">
        <f>SUM(C79:X79)</f>
        <v>0</v>
      </c>
    </row>
    <row r="80" spans="1:26">
      <c r="A80" s="1" t="s">
        <v>66</v>
      </c>
      <c r="B80" s="2" t="s">
        <v>26</v>
      </c>
      <c r="C80" s="2">
        <v>272109</v>
      </c>
      <c r="D80" s="2">
        <v>25336</v>
      </c>
      <c r="E80" s="2">
        <v>7223</v>
      </c>
      <c r="F80" s="2"/>
      <c r="G80" s="2"/>
      <c r="H80" s="2"/>
      <c r="I80" s="2"/>
      <c r="J80" s="2"/>
      <c r="K80" s="2"/>
      <c r="L80" s="2"/>
      <c r="M80" s="2">
        <v>30272</v>
      </c>
      <c r="N80" s="2">
        <v>101508</v>
      </c>
      <c r="O80" s="2"/>
      <c r="P80" s="2"/>
      <c r="Q80" s="2">
        <v>41508</v>
      </c>
      <c r="R80" s="2">
        <v>8788</v>
      </c>
      <c r="S80" s="2"/>
      <c r="T80" s="2"/>
      <c r="U80" s="2">
        <v>6849</v>
      </c>
      <c r="V80" s="2">
        <v>10707</v>
      </c>
      <c r="W80" s="2"/>
      <c r="X80" s="2"/>
      <c r="Y80" s="2"/>
      <c r="Z80" s="2">
        <f>SUM(C80:X80)</f>
        <v>0</v>
      </c>
    </row>
    <row r="81" spans="1:26">
      <c r="A81" s="1"/>
      <c r="B81" s="3" t="s">
        <v>27</v>
      </c>
      <c r="C81" s="3">
        <v>27670.94140000001</v>
      </c>
      <c r="D81" s="3">
        <v>5034.19</v>
      </c>
      <c r="E81" s="3">
        <v>4248.307199999999</v>
      </c>
      <c r="F81" s="3"/>
      <c r="G81" s="3"/>
      <c r="H81" s="3"/>
      <c r="I81" s="3"/>
      <c r="J81" s="3"/>
      <c r="K81" s="3"/>
      <c r="L81" s="3"/>
      <c r="M81" s="3">
        <v>4834.858499999999</v>
      </c>
      <c r="N81" s="3">
        <v>5024.0265</v>
      </c>
      <c r="O81" s="3"/>
      <c r="P81" s="3"/>
      <c r="Q81" s="3">
        <v>7768.796000000001</v>
      </c>
      <c r="R81" s="3">
        <v>2049.078</v>
      </c>
      <c r="S81" s="3"/>
      <c r="T81" s="3"/>
      <c r="U81" s="3">
        <v>821.4349999999999</v>
      </c>
      <c r="V81" s="3">
        <v>2922.566900000001</v>
      </c>
      <c r="W81" s="3"/>
      <c r="X81" s="3"/>
      <c r="Y81" s="3"/>
      <c r="Z81" s="3">
        <f>SUM(C81:X81)</f>
        <v>0</v>
      </c>
    </row>
    <row r="82" spans="1:26">
      <c r="A82" s="1" t="s">
        <v>67</v>
      </c>
      <c r="B82" s="2" t="s">
        <v>26</v>
      </c>
      <c r="C82" s="2">
        <v>323800</v>
      </c>
      <c r="D82" s="2">
        <v>15303</v>
      </c>
      <c r="E82" s="2">
        <v>9518</v>
      </c>
      <c r="F82" s="2"/>
      <c r="G82" s="2"/>
      <c r="H82" s="2"/>
      <c r="I82" s="2"/>
      <c r="J82" s="2"/>
      <c r="K82" s="2"/>
      <c r="L82" s="2"/>
      <c r="M82" s="2">
        <v>12974</v>
      </c>
      <c r="N82" s="2">
        <v>301076</v>
      </c>
      <c r="O82" s="2"/>
      <c r="P82" s="2">
        <v>2060</v>
      </c>
      <c r="Q82" s="2">
        <v>33806</v>
      </c>
      <c r="R82" s="2">
        <v>8762</v>
      </c>
      <c r="S82" s="2"/>
      <c r="T82" s="2">
        <v>4211</v>
      </c>
      <c r="U82" s="2">
        <v>5958</v>
      </c>
      <c r="V82" s="2">
        <v>6405</v>
      </c>
      <c r="W82" s="2"/>
      <c r="X82" s="2"/>
      <c r="Y82" s="2"/>
      <c r="Z82" s="2">
        <f>SUM(C82:X82)</f>
        <v>0</v>
      </c>
    </row>
    <row r="83" spans="1:26">
      <c r="A83" s="1"/>
      <c r="B83" s="3" t="s">
        <v>27</v>
      </c>
      <c r="C83" s="3">
        <v>33326.34442999998</v>
      </c>
      <c r="D83" s="3">
        <v>2737.3997</v>
      </c>
      <c r="E83" s="3">
        <v>4581.0834</v>
      </c>
      <c r="F83" s="3"/>
      <c r="G83" s="3"/>
      <c r="H83" s="3"/>
      <c r="I83" s="3"/>
      <c r="J83" s="3"/>
      <c r="K83" s="3"/>
      <c r="L83" s="3"/>
      <c r="M83" s="3">
        <v>2336.2542</v>
      </c>
      <c r="N83" s="3">
        <v>14157.859</v>
      </c>
      <c r="O83" s="3"/>
      <c r="P83" s="3">
        <v>206</v>
      </c>
      <c r="Q83" s="3">
        <v>7444.18</v>
      </c>
      <c r="R83" s="3">
        <v>2024.36</v>
      </c>
      <c r="S83" s="3"/>
      <c r="T83" s="3">
        <v>628.6869999999999</v>
      </c>
      <c r="U83" s="3">
        <v>813.8200000000001</v>
      </c>
      <c r="V83" s="3">
        <v>1802.558</v>
      </c>
      <c r="W83" s="3"/>
      <c r="X83" s="3"/>
      <c r="Y83" s="3"/>
      <c r="Z83" s="3">
        <f>SUM(C83:X83)</f>
        <v>0</v>
      </c>
    </row>
    <row r="84" spans="1:26">
      <c r="A84" s="1" t="s">
        <v>68</v>
      </c>
      <c r="B84" s="2" t="s">
        <v>26</v>
      </c>
      <c r="C84" s="2">
        <v>210504</v>
      </c>
      <c r="D84" s="2">
        <v>22384</v>
      </c>
      <c r="E84" s="2">
        <v>6952</v>
      </c>
      <c r="F84" s="2"/>
      <c r="G84" s="2"/>
      <c r="H84" s="2"/>
      <c r="I84" s="2"/>
      <c r="J84" s="2"/>
      <c r="K84" s="2"/>
      <c r="L84" s="2"/>
      <c r="M84" s="2">
        <v>20389</v>
      </c>
      <c r="N84" s="2">
        <v>301187</v>
      </c>
      <c r="O84" s="2"/>
      <c r="P84" s="2"/>
      <c r="Q84" s="2">
        <v>29273</v>
      </c>
      <c r="R84" s="2">
        <v>8797</v>
      </c>
      <c r="S84" s="2"/>
      <c r="T84" s="2">
        <v>8000</v>
      </c>
      <c r="U84" s="2">
        <v>1431</v>
      </c>
      <c r="V84" s="2">
        <v>13430</v>
      </c>
      <c r="W84" s="2"/>
      <c r="X84" s="2"/>
      <c r="Y84" s="2">
        <v>50000</v>
      </c>
      <c r="Z84" s="2">
        <f>SUM(C84:X84)</f>
        <v>0</v>
      </c>
    </row>
    <row r="85" spans="1:26">
      <c r="A85" s="1"/>
      <c r="B85" s="3" t="s">
        <v>27</v>
      </c>
      <c r="C85" s="3">
        <v>23097.73639239999</v>
      </c>
      <c r="D85" s="3">
        <v>3922.6655</v>
      </c>
      <c r="E85" s="3">
        <v>3412.5257</v>
      </c>
      <c r="F85" s="3"/>
      <c r="G85" s="3"/>
      <c r="H85" s="3"/>
      <c r="I85" s="3"/>
      <c r="J85" s="3"/>
      <c r="K85" s="3"/>
      <c r="L85" s="3"/>
      <c r="M85" s="3">
        <v>3325.8938</v>
      </c>
      <c r="N85" s="3">
        <v>14212.4358</v>
      </c>
      <c r="O85" s="3"/>
      <c r="P85" s="3"/>
      <c r="Q85" s="3">
        <v>4636.837000000002</v>
      </c>
      <c r="R85" s="3">
        <v>2033.451</v>
      </c>
      <c r="S85" s="3"/>
      <c r="T85" s="3">
        <v>1212.6</v>
      </c>
      <c r="U85" s="3">
        <v>164.565</v>
      </c>
      <c r="V85" s="3">
        <v>3520.594</v>
      </c>
      <c r="W85" s="3"/>
      <c r="X85" s="3"/>
      <c r="Y85" s="3">
        <v>1428</v>
      </c>
      <c r="Z85" s="3">
        <f>SUM(C85:X85)</f>
        <v>0</v>
      </c>
    </row>
    <row r="86" spans="1:26">
      <c r="A86" s="1" t="s">
        <v>69</v>
      </c>
      <c r="B86" s="2" t="s">
        <v>26</v>
      </c>
      <c r="C86" s="2">
        <v>147350</v>
      </c>
      <c r="D86" s="2">
        <v>17353</v>
      </c>
      <c r="E86" s="2">
        <v>2561</v>
      </c>
      <c r="F86" s="2"/>
      <c r="G86" s="2"/>
      <c r="H86" s="2"/>
      <c r="I86" s="2"/>
      <c r="J86" s="2"/>
      <c r="K86" s="2"/>
      <c r="L86" s="2"/>
      <c r="M86" s="2">
        <v>20136</v>
      </c>
      <c r="N86" s="2">
        <v>302445</v>
      </c>
      <c r="O86" s="2"/>
      <c r="P86" s="2">
        <v>979</v>
      </c>
      <c r="Q86" s="2">
        <v>28440</v>
      </c>
      <c r="R86" s="2">
        <v>10316</v>
      </c>
      <c r="S86" s="2"/>
      <c r="T86" s="2">
        <v>9300</v>
      </c>
      <c r="U86" s="2"/>
      <c r="V86" s="2">
        <v>16082</v>
      </c>
      <c r="W86" s="2"/>
      <c r="X86" s="2"/>
      <c r="Y86" s="2"/>
      <c r="Z86" s="2">
        <f>SUM(C86:X86)</f>
        <v>0</v>
      </c>
    </row>
    <row r="87" spans="1:26">
      <c r="A87" s="1"/>
      <c r="B87" s="3" t="s">
        <v>27</v>
      </c>
      <c r="C87" s="3">
        <v>15727.17615</v>
      </c>
      <c r="D87" s="3">
        <v>3083.4706</v>
      </c>
      <c r="E87" s="3">
        <v>1228.8035</v>
      </c>
      <c r="F87" s="3"/>
      <c r="G87" s="3"/>
      <c r="H87" s="3"/>
      <c r="I87" s="3"/>
      <c r="J87" s="3"/>
      <c r="K87" s="3"/>
      <c r="L87" s="3"/>
      <c r="M87" s="3">
        <v>2874.398799999999</v>
      </c>
      <c r="N87" s="3">
        <v>15834.82305</v>
      </c>
      <c r="O87" s="3"/>
      <c r="P87" s="3">
        <v>142.19</v>
      </c>
      <c r="Q87" s="3">
        <v>3268.602999999998</v>
      </c>
      <c r="R87" s="3">
        <v>2377.295</v>
      </c>
      <c r="S87" s="3"/>
      <c r="T87" s="3">
        <v>1367.8</v>
      </c>
      <c r="U87" s="3"/>
      <c r="V87" s="3">
        <v>4739.515000000001</v>
      </c>
      <c r="W87" s="3"/>
      <c r="X87" s="3"/>
      <c r="Y87" s="3"/>
      <c r="Z87" s="3">
        <f>SUM(C87:X87)</f>
        <v>0</v>
      </c>
    </row>
    <row r="88" spans="1:26">
      <c r="A88" s="1" t="s">
        <v>70</v>
      </c>
      <c r="B88" s="2" t="s">
        <v>26</v>
      </c>
      <c r="C88" s="2">
        <v>78385</v>
      </c>
      <c r="D88" s="2">
        <v>4021</v>
      </c>
      <c r="E88" s="2">
        <v>940</v>
      </c>
      <c r="F88" s="2">
        <v>797</v>
      </c>
      <c r="G88" s="2"/>
      <c r="H88" s="2"/>
      <c r="I88" s="2"/>
      <c r="J88" s="2"/>
      <c r="K88" s="2"/>
      <c r="L88" s="2"/>
      <c r="M88" s="2">
        <v>20460</v>
      </c>
      <c r="N88" s="2">
        <v>280876</v>
      </c>
      <c r="O88" s="2"/>
      <c r="P88" s="2"/>
      <c r="Q88" s="2">
        <v>9908</v>
      </c>
      <c r="R88" s="2">
        <v>10086</v>
      </c>
      <c r="S88" s="2"/>
      <c r="T88" s="2">
        <v>7500</v>
      </c>
      <c r="U88" s="2"/>
      <c r="V88" s="2">
        <v>16052</v>
      </c>
      <c r="W88" s="2"/>
      <c r="X88" s="2"/>
      <c r="Y88" s="2">
        <v>7213</v>
      </c>
      <c r="Z88" s="2">
        <f>SUM(C88:X88)</f>
        <v>0</v>
      </c>
    </row>
    <row r="89" spans="1:26">
      <c r="A89" s="1"/>
      <c r="B89" s="3" t="s">
        <v>27</v>
      </c>
      <c r="C89" s="3">
        <v>8518.697700000001</v>
      </c>
      <c r="D89" s="3">
        <v>720.1611</v>
      </c>
      <c r="E89" s="3">
        <v>639.2000000000002</v>
      </c>
      <c r="F89" s="3">
        <v>637.6</v>
      </c>
      <c r="G89" s="3"/>
      <c r="H89" s="3"/>
      <c r="I89" s="3"/>
      <c r="J89" s="3"/>
      <c r="K89" s="3"/>
      <c r="L89" s="3"/>
      <c r="M89" s="3">
        <v>2943.475</v>
      </c>
      <c r="N89" s="3">
        <v>13955.2846</v>
      </c>
      <c r="O89" s="3"/>
      <c r="P89" s="3"/>
      <c r="Q89" s="3">
        <v>2417.7235</v>
      </c>
      <c r="R89" s="3">
        <v>2446.820000000001</v>
      </c>
      <c r="S89" s="3"/>
      <c r="T89" s="3">
        <v>1117.3</v>
      </c>
      <c r="U89" s="3"/>
      <c r="V89" s="3">
        <v>4717.343000000001</v>
      </c>
      <c r="W89" s="3"/>
      <c r="X89" s="3"/>
      <c r="Y89" s="3">
        <v>405.05</v>
      </c>
      <c r="Z89" s="3">
        <f>SUM(C89:X89)</f>
        <v>0</v>
      </c>
    </row>
    <row r="90" spans="1:26">
      <c r="A90" s="1" t="s">
        <v>71</v>
      </c>
      <c r="B90" s="2" t="s">
        <v>26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f>SUM(C90:X90)</f>
        <v>0</v>
      </c>
    </row>
    <row r="91" spans="1:26">
      <c r="A91" s="1"/>
      <c r="B91" s="3" t="s">
        <v>27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f>SUM(C91:X91)</f>
        <v>0</v>
      </c>
    </row>
    <row r="92" spans="1:26">
      <c r="A92" s="1" t="s">
        <v>72</v>
      </c>
      <c r="B92" s="2" t="s">
        <v>26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>
        <f>SUM(C92:X92)</f>
        <v>0</v>
      </c>
    </row>
    <row r="93" spans="1:26">
      <c r="A93" s="1"/>
      <c r="B93" s="3" t="s">
        <v>27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f>SUM(C93:X93)</f>
        <v>0</v>
      </c>
    </row>
    <row r="94" spans="1:26">
      <c r="A94" s="1" t="s">
        <v>73</v>
      </c>
      <c r="B94" s="2" t="s">
        <v>26</v>
      </c>
      <c r="C94" s="2">
        <v>31384</v>
      </c>
      <c r="D94" s="2"/>
      <c r="E94" s="2">
        <v>912</v>
      </c>
      <c r="F94" s="2"/>
      <c r="G94" s="2"/>
      <c r="H94" s="2"/>
      <c r="I94" s="2"/>
      <c r="J94" s="2"/>
      <c r="K94" s="2"/>
      <c r="L94" s="2"/>
      <c r="M94" s="2">
        <v>20590</v>
      </c>
      <c r="N94" s="2">
        <v>255407</v>
      </c>
      <c r="O94" s="2"/>
      <c r="P94" s="2">
        <v>513</v>
      </c>
      <c r="Q94" s="2">
        <v>18094</v>
      </c>
      <c r="R94" s="2">
        <v>11730</v>
      </c>
      <c r="S94" s="2"/>
      <c r="T94" s="2">
        <v>13880</v>
      </c>
      <c r="U94" s="2"/>
      <c r="V94" s="2">
        <v>15625</v>
      </c>
      <c r="W94" s="2"/>
      <c r="X94" s="2"/>
      <c r="Y94" s="2"/>
      <c r="Z94" s="2">
        <f>SUM(C94:X94)</f>
        <v>0</v>
      </c>
    </row>
    <row r="95" spans="1:26">
      <c r="A95" s="1"/>
      <c r="B95" s="3" t="s">
        <v>27</v>
      </c>
      <c r="C95" s="3">
        <v>3556.7382</v>
      </c>
      <c r="D95" s="3"/>
      <c r="E95" s="3">
        <v>620.1600000000001</v>
      </c>
      <c r="F95" s="3"/>
      <c r="G95" s="3"/>
      <c r="H95" s="3"/>
      <c r="I95" s="3"/>
      <c r="J95" s="3"/>
      <c r="K95" s="3"/>
      <c r="L95" s="3"/>
      <c r="M95" s="3">
        <v>3020.037500000001</v>
      </c>
      <c r="N95" s="3">
        <v>12843.23820000001</v>
      </c>
      <c r="O95" s="3"/>
      <c r="P95" s="3">
        <v>73.872</v>
      </c>
      <c r="Q95" s="3">
        <v>1961.0678</v>
      </c>
      <c r="R95" s="3">
        <v>2792.840000000001</v>
      </c>
      <c r="S95" s="3"/>
      <c r="T95" s="3">
        <v>2091.43</v>
      </c>
      <c r="U95" s="3"/>
      <c r="V95" s="3">
        <v>4428.637999999999</v>
      </c>
      <c r="W95" s="3"/>
      <c r="X95" s="3"/>
      <c r="Y95" s="3"/>
      <c r="Z95" s="3">
        <f>SUM(C95:X95)</f>
        <v>0</v>
      </c>
    </row>
    <row r="96" spans="1:26">
      <c r="A96" s="1" t="s">
        <v>74</v>
      </c>
      <c r="B96" s="2" t="s">
        <v>26</v>
      </c>
      <c r="C96" s="2">
        <v>13107</v>
      </c>
      <c r="D96" s="2"/>
      <c r="E96" s="2"/>
      <c r="F96" s="2">
        <v>93</v>
      </c>
      <c r="G96" s="2"/>
      <c r="H96" s="2"/>
      <c r="I96" s="2"/>
      <c r="J96" s="2"/>
      <c r="K96" s="2"/>
      <c r="L96" s="2"/>
      <c r="M96" s="2">
        <v>20850</v>
      </c>
      <c r="N96" s="2">
        <v>282633</v>
      </c>
      <c r="O96" s="2"/>
      <c r="P96" s="2">
        <v>6942</v>
      </c>
      <c r="Q96" s="2">
        <v>22352</v>
      </c>
      <c r="R96" s="2">
        <v>7338</v>
      </c>
      <c r="S96" s="2"/>
      <c r="T96" s="2">
        <v>14019</v>
      </c>
      <c r="U96" s="2">
        <v>2416</v>
      </c>
      <c r="V96" s="2">
        <v>16068</v>
      </c>
      <c r="W96" s="2"/>
      <c r="X96" s="2"/>
      <c r="Y96" s="2">
        <v>7250</v>
      </c>
      <c r="Z96" s="2">
        <f>SUM(C96:X96)</f>
        <v>0</v>
      </c>
    </row>
    <row r="97" spans="1:26">
      <c r="A97" s="1"/>
      <c r="B97" s="3" t="s">
        <v>27</v>
      </c>
      <c r="C97" s="3">
        <v>1440.6609</v>
      </c>
      <c r="D97" s="3"/>
      <c r="E97" s="3"/>
      <c r="F97" s="3">
        <v>74.40000000000001</v>
      </c>
      <c r="G97" s="3"/>
      <c r="H97" s="3"/>
      <c r="I97" s="3"/>
      <c r="J97" s="3"/>
      <c r="K97" s="3"/>
      <c r="L97" s="3"/>
      <c r="M97" s="3">
        <v>2976.1875</v>
      </c>
      <c r="N97" s="3">
        <v>13858.49540000001</v>
      </c>
      <c r="O97" s="3"/>
      <c r="P97" s="3">
        <v>1151.35</v>
      </c>
      <c r="Q97" s="3">
        <v>2301.3812</v>
      </c>
      <c r="R97" s="3">
        <v>1758.84</v>
      </c>
      <c r="S97" s="3"/>
      <c r="T97" s="3">
        <v>2082.043</v>
      </c>
      <c r="U97" s="3">
        <v>338.24</v>
      </c>
      <c r="V97" s="3">
        <v>4759.3835</v>
      </c>
      <c r="W97" s="3"/>
      <c r="X97" s="3"/>
      <c r="Y97" s="3">
        <v>253.7500000000001</v>
      </c>
      <c r="Z97" s="3">
        <f>SUM(C97:X97)</f>
        <v>0</v>
      </c>
    </row>
    <row r="98" spans="1:26">
      <c r="A98" s="1" t="s">
        <v>75</v>
      </c>
      <c r="B98" s="2" t="s">
        <v>26</v>
      </c>
      <c r="C98" s="2">
        <v>175354</v>
      </c>
      <c r="D98" s="2">
        <v>7462</v>
      </c>
      <c r="E98" s="2">
        <v>3836</v>
      </c>
      <c r="F98" s="2"/>
      <c r="G98" s="2"/>
      <c r="H98" s="2"/>
      <c r="I98" s="2"/>
      <c r="J98" s="2"/>
      <c r="K98" s="2"/>
      <c r="L98" s="2"/>
      <c r="M98" s="2">
        <v>21510</v>
      </c>
      <c r="N98" s="2">
        <v>256928</v>
      </c>
      <c r="O98" s="2"/>
      <c r="P98" s="2">
        <v>688</v>
      </c>
      <c r="Q98" s="2">
        <v>12562</v>
      </c>
      <c r="R98" s="2">
        <v>5835</v>
      </c>
      <c r="S98" s="2">
        <v>2322</v>
      </c>
      <c r="T98" s="2">
        <v>10800</v>
      </c>
      <c r="U98" s="2"/>
      <c r="V98" s="2">
        <v>11082</v>
      </c>
      <c r="W98" s="2"/>
      <c r="X98" s="2"/>
      <c r="Y98" s="2">
        <v>88587</v>
      </c>
      <c r="Z98" s="2">
        <f>SUM(C98:X98)</f>
        <v>0</v>
      </c>
    </row>
    <row r="99" spans="1:26">
      <c r="A99" s="1"/>
      <c r="B99" s="3" t="s">
        <v>27</v>
      </c>
      <c r="C99" s="3">
        <v>18820.9649764</v>
      </c>
      <c r="D99" s="3">
        <v>1739.3593</v>
      </c>
      <c r="E99" s="3">
        <v>2013.9153</v>
      </c>
      <c r="F99" s="3"/>
      <c r="G99" s="3"/>
      <c r="H99" s="3"/>
      <c r="I99" s="3"/>
      <c r="J99" s="3"/>
      <c r="K99" s="3"/>
      <c r="L99" s="3"/>
      <c r="M99" s="3">
        <v>3051.329999999999</v>
      </c>
      <c r="N99" s="3">
        <v>12839.6943</v>
      </c>
      <c r="O99" s="3"/>
      <c r="P99" s="3">
        <v>390.2</v>
      </c>
      <c r="Q99" s="3">
        <v>1513.8366</v>
      </c>
      <c r="R99" s="3">
        <v>1553.385</v>
      </c>
      <c r="S99" s="3">
        <v>241.2</v>
      </c>
      <c r="T99" s="3">
        <v>1604.4</v>
      </c>
      <c r="U99" s="3"/>
      <c r="V99" s="3">
        <v>3313.021</v>
      </c>
      <c r="W99" s="3"/>
      <c r="X99" s="3"/>
      <c r="Y99" s="3">
        <v>4657.092000000001</v>
      </c>
      <c r="Z99" s="3">
        <f>SUM(C99:X99)</f>
        <v>0</v>
      </c>
    </row>
    <row r="100" spans="1:26">
      <c r="A100" s="1" t="s">
        <v>76</v>
      </c>
      <c r="B100" s="2" t="s">
        <v>26</v>
      </c>
      <c r="C100" s="2">
        <v>252651</v>
      </c>
      <c r="D100" s="2">
        <v>13027</v>
      </c>
      <c r="E100" s="2">
        <v>6260</v>
      </c>
      <c r="F100" s="2"/>
      <c r="G100" s="2"/>
      <c r="H100" s="2"/>
      <c r="I100" s="2"/>
      <c r="J100" s="2"/>
      <c r="K100" s="2"/>
      <c r="L100" s="2"/>
      <c r="M100" s="2">
        <v>21335</v>
      </c>
      <c r="N100" s="2">
        <v>268473</v>
      </c>
      <c r="O100" s="2"/>
      <c r="P100" s="2">
        <v>1575</v>
      </c>
      <c r="Q100" s="2">
        <v>17400</v>
      </c>
      <c r="R100" s="2">
        <v>7392</v>
      </c>
      <c r="S100" s="2"/>
      <c r="T100" s="2">
        <v>6800</v>
      </c>
      <c r="U100" s="2">
        <v>4942</v>
      </c>
      <c r="V100" s="2">
        <v>10629</v>
      </c>
      <c r="W100" s="2"/>
      <c r="X100" s="2"/>
      <c r="Y100" s="2">
        <v>63813</v>
      </c>
      <c r="Z100" s="2">
        <f>SUM(C100:X100)</f>
        <v>0</v>
      </c>
    </row>
    <row r="101" spans="1:26">
      <c r="A101" s="1"/>
      <c r="B101" s="3" t="s">
        <v>27</v>
      </c>
      <c r="C101" s="3">
        <v>27042.00909999998</v>
      </c>
      <c r="D101" s="3">
        <v>3771.5065</v>
      </c>
      <c r="E101" s="3">
        <v>3602.9166</v>
      </c>
      <c r="F101" s="3"/>
      <c r="G101" s="3"/>
      <c r="H101" s="3"/>
      <c r="I101" s="3"/>
      <c r="J101" s="3"/>
      <c r="K101" s="3"/>
      <c r="L101" s="3"/>
      <c r="M101" s="3">
        <v>3785.16</v>
      </c>
      <c r="N101" s="3">
        <v>14137.9591</v>
      </c>
      <c r="O101" s="3"/>
      <c r="P101" s="3">
        <v>189</v>
      </c>
      <c r="Q101" s="3">
        <v>2172.636</v>
      </c>
      <c r="R101" s="3">
        <v>1778.45</v>
      </c>
      <c r="S101" s="3"/>
      <c r="T101" s="3">
        <v>1044.1</v>
      </c>
      <c r="U101" s="3">
        <v>691.8800000000001</v>
      </c>
      <c r="V101" s="3">
        <v>3173.7705</v>
      </c>
      <c r="W101" s="3"/>
      <c r="X101" s="3"/>
      <c r="Y101" s="3">
        <v>3853.058</v>
      </c>
      <c r="Z101" s="3">
        <f>SUM(C101:X101)</f>
        <v>0</v>
      </c>
    </row>
    <row r="102" spans="1:26">
      <c r="A102" s="1" t="s">
        <v>77</v>
      </c>
      <c r="B102" s="2" t="s">
        <v>26</v>
      </c>
      <c r="C102" s="2">
        <v>410656</v>
      </c>
      <c r="D102" s="2">
        <v>3226</v>
      </c>
      <c r="E102" s="2">
        <v>1059</v>
      </c>
      <c r="F102" s="2"/>
      <c r="G102" s="2"/>
      <c r="H102" s="2"/>
      <c r="I102" s="2"/>
      <c r="J102" s="2"/>
      <c r="K102" s="2"/>
      <c r="L102" s="2"/>
      <c r="M102" s="2">
        <v>44370</v>
      </c>
      <c r="N102" s="2">
        <v>282928</v>
      </c>
      <c r="O102" s="2"/>
      <c r="P102" s="2"/>
      <c r="Q102" s="2">
        <v>3575</v>
      </c>
      <c r="R102" s="2">
        <v>5457</v>
      </c>
      <c r="S102" s="2"/>
      <c r="T102" s="2">
        <v>4620</v>
      </c>
      <c r="U102" s="2">
        <v>2656</v>
      </c>
      <c r="V102" s="2">
        <v>13244</v>
      </c>
      <c r="W102" s="2"/>
      <c r="X102" s="2"/>
      <c r="Y102" s="2"/>
      <c r="Z102" s="2">
        <f>SUM(C102:X102)</f>
        <v>0</v>
      </c>
    </row>
    <row r="103" spans="1:26">
      <c r="A103" s="1"/>
      <c r="B103" s="3" t="s">
        <v>27</v>
      </c>
      <c r="C103" s="3">
        <v>43189.76354999999</v>
      </c>
      <c r="D103" s="3">
        <v>827.3395</v>
      </c>
      <c r="E103" s="3">
        <v>674.0994000000002</v>
      </c>
      <c r="F103" s="3"/>
      <c r="G103" s="3"/>
      <c r="H103" s="3"/>
      <c r="I103" s="3"/>
      <c r="J103" s="3"/>
      <c r="K103" s="3"/>
      <c r="L103" s="3"/>
      <c r="M103" s="3">
        <v>6262.865</v>
      </c>
      <c r="N103" s="3">
        <v>13009.8556</v>
      </c>
      <c r="O103" s="3"/>
      <c r="P103" s="3"/>
      <c r="Q103" s="3">
        <v>378.2979999999999</v>
      </c>
      <c r="R103" s="3">
        <v>1441.3894</v>
      </c>
      <c r="S103" s="3"/>
      <c r="T103" s="3">
        <v>690.52</v>
      </c>
      <c r="U103" s="3">
        <v>438.24</v>
      </c>
      <c r="V103" s="3">
        <v>3590.665399999999</v>
      </c>
      <c r="W103" s="3"/>
      <c r="X103" s="3"/>
      <c r="Y103" s="3"/>
      <c r="Z103" s="3">
        <f>SUM(C103:X103)</f>
        <v>0</v>
      </c>
    </row>
    <row r="104" spans="1:26">
      <c r="A104" s="1" t="s">
        <v>78</v>
      </c>
      <c r="B104" s="2" t="s">
        <v>26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>
        <f>SUM(C104:X104)</f>
        <v>0</v>
      </c>
    </row>
    <row r="105" spans="1:26">
      <c r="A105" s="1"/>
      <c r="B105" s="3" t="s">
        <v>27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f>SUM(C105:X105)</f>
        <v>0</v>
      </c>
    </row>
    <row r="106" spans="1:26">
      <c r="A106" s="1" t="s">
        <v>79</v>
      </c>
      <c r="B106" s="2" t="s">
        <v>26</v>
      </c>
      <c r="C106" s="2">
        <v>373436</v>
      </c>
      <c r="D106" s="2">
        <v>5874</v>
      </c>
      <c r="E106" s="2">
        <v>66</v>
      </c>
      <c r="F106" s="2"/>
      <c r="G106" s="2"/>
      <c r="H106" s="2"/>
      <c r="I106" s="2"/>
      <c r="J106" s="2"/>
      <c r="K106" s="2"/>
      <c r="L106" s="2"/>
      <c r="M106" s="2">
        <v>50518</v>
      </c>
      <c r="N106" s="2">
        <v>221007</v>
      </c>
      <c r="O106" s="2"/>
      <c r="P106" s="2">
        <v>13216</v>
      </c>
      <c r="Q106" s="2">
        <v>5206</v>
      </c>
      <c r="R106" s="2">
        <v>7241</v>
      </c>
      <c r="S106" s="2"/>
      <c r="T106" s="2"/>
      <c r="U106" s="2">
        <v>15893</v>
      </c>
      <c r="V106" s="2">
        <v>15843</v>
      </c>
      <c r="W106" s="2"/>
      <c r="X106" s="2"/>
      <c r="Y106" s="2">
        <v>3110</v>
      </c>
      <c r="Z106" s="2">
        <f>SUM(C106:X106)</f>
        <v>0</v>
      </c>
    </row>
    <row r="107" spans="1:26">
      <c r="A107" s="1"/>
      <c r="B107" s="3" t="s">
        <v>27</v>
      </c>
      <c r="C107" s="3">
        <v>39208.11045000002</v>
      </c>
      <c r="D107" s="3">
        <v>1468.5</v>
      </c>
      <c r="E107" s="3">
        <v>40.68</v>
      </c>
      <c r="F107" s="3"/>
      <c r="G107" s="3"/>
      <c r="H107" s="3"/>
      <c r="I107" s="3"/>
      <c r="J107" s="3"/>
      <c r="K107" s="3"/>
      <c r="L107" s="3"/>
      <c r="M107" s="3">
        <v>7131.236499999998</v>
      </c>
      <c r="N107" s="3">
        <v>10298.4998</v>
      </c>
      <c r="O107" s="3"/>
      <c r="P107" s="3">
        <v>1453.76</v>
      </c>
      <c r="Q107" s="3">
        <v>490.6</v>
      </c>
      <c r="R107" s="3">
        <v>1496.3208</v>
      </c>
      <c r="S107" s="3"/>
      <c r="T107" s="3"/>
      <c r="U107" s="3">
        <v>2308.37</v>
      </c>
      <c r="V107" s="3">
        <v>4545.619999999999</v>
      </c>
      <c r="W107" s="3"/>
      <c r="X107" s="3"/>
      <c r="Y107" s="3">
        <v>356.3820000000001</v>
      </c>
      <c r="Z107" s="3">
        <f>SUM(C107:X107)</f>
        <v>0</v>
      </c>
    </row>
    <row r="108" spans="1:26">
      <c r="A108" s="1" t="s">
        <v>80</v>
      </c>
      <c r="B108" s="2" t="s">
        <v>26</v>
      </c>
      <c r="C108" s="2">
        <v>356815</v>
      </c>
      <c r="D108" s="2">
        <v>4944</v>
      </c>
      <c r="E108" s="2">
        <v>8321</v>
      </c>
      <c r="F108" s="2"/>
      <c r="G108" s="2"/>
      <c r="H108" s="2"/>
      <c r="I108" s="2"/>
      <c r="J108" s="2"/>
      <c r="K108" s="2"/>
      <c r="L108" s="2"/>
      <c r="M108" s="2">
        <v>40300</v>
      </c>
      <c r="N108" s="2">
        <v>147467</v>
      </c>
      <c r="O108" s="2"/>
      <c r="P108" s="2">
        <v>4495</v>
      </c>
      <c r="Q108" s="2">
        <v>5233</v>
      </c>
      <c r="R108" s="2">
        <v>7887</v>
      </c>
      <c r="S108" s="2">
        <v>3300</v>
      </c>
      <c r="T108" s="2"/>
      <c r="U108" s="2">
        <v>13181</v>
      </c>
      <c r="V108" s="2">
        <v>17873</v>
      </c>
      <c r="W108" s="2"/>
      <c r="X108" s="2"/>
      <c r="Y108" s="2">
        <v>10614</v>
      </c>
      <c r="Z108" s="2">
        <f>SUM(C108:X108)</f>
        <v>0</v>
      </c>
    </row>
    <row r="109" spans="1:26">
      <c r="A109" s="1"/>
      <c r="B109" s="3" t="s">
        <v>27</v>
      </c>
      <c r="C109" s="3">
        <v>39436.87064399998</v>
      </c>
      <c r="D109" s="3">
        <v>1426.06</v>
      </c>
      <c r="E109" s="3">
        <v>4434.3074</v>
      </c>
      <c r="F109" s="3"/>
      <c r="G109" s="3"/>
      <c r="H109" s="3"/>
      <c r="I109" s="3"/>
      <c r="J109" s="3"/>
      <c r="K109" s="3"/>
      <c r="L109" s="3"/>
      <c r="M109" s="3">
        <v>5666.37</v>
      </c>
      <c r="N109" s="3">
        <v>7158.351600000001</v>
      </c>
      <c r="O109" s="3"/>
      <c r="P109" s="3">
        <v>528.7</v>
      </c>
      <c r="Q109" s="3">
        <v>1157.324</v>
      </c>
      <c r="R109" s="3">
        <v>1716.5876</v>
      </c>
      <c r="S109" s="3">
        <v>474.5</v>
      </c>
      <c r="T109" s="3"/>
      <c r="U109" s="3">
        <v>1770.265000000001</v>
      </c>
      <c r="V109" s="3">
        <v>4996.809</v>
      </c>
      <c r="W109" s="3"/>
      <c r="X109" s="3"/>
      <c r="Y109" s="3">
        <v>747.9999999999999</v>
      </c>
      <c r="Z109" s="3">
        <f>SUM(C109:X109)</f>
        <v>0</v>
      </c>
    </row>
    <row r="110" spans="1:26">
      <c r="A110" s="1" t="s">
        <v>81</v>
      </c>
      <c r="B110" s="2" t="s">
        <v>26</v>
      </c>
      <c r="C110" s="2">
        <v>387059</v>
      </c>
      <c r="D110" s="2"/>
      <c r="E110" s="2">
        <v>12841</v>
      </c>
      <c r="F110" s="2"/>
      <c r="G110" s="2"/>
      <c r="H110" s="2"/>
      <c r="I110" s="2"/>
      <c r="J110" s="2"/>
      <c r="K110" s="2"/>
      <c r="L110" s="2"/>
      <c r="M110" s="2">
        <v>37244</v>
      </c>
      <c r="N110" s="2">
        <v>150165</v>
      </c>
      <c r="O110" s="2"/>
      <c r="P110" s="2">
        <v>2232</v>
      </c>
      <c r="Q110" s="2">
        <v>9962</v>
      </c>
      <c r="R110" s="2">
        <v>3787</v>
      </c>
      <c r="S110" s="2">
        <v>14600</v>
      </c>
      <c r="T110" s="2"/>
      <c r="U110" s="2">
        <v>10852</v>
      </c>
      <c r="V110" s="2">
        <v>14087</v>
      </c>
      <c r="W110" s="2"/>
      <c r="X110" s="2"/>
      <c r="Y110" s="2">
        <v>23028</v>
      </c>
      <c r="Z110" s="2">
        <f>SUM(C110:X110)</f>
        <v>0</v>
      </c>
    </row>
    <row r="111" spans="1:26">
      <c r="A111" s="1"/>
      <c r="B111" s="3" t="s">
        <v>27</v>
      </c>
      <c r="C111" s="3">
        <v>40588.68705880003</v>
      </c>
      <c r="D111" s="3"/>
      <c r="E111" s="3">
        <v>6125.7836</v>
      </c>
      <c r="F111" s="3"/>
      <c r="G111" s="3"/>
      <c r="H111" s="3"/>
      <c r="I111" s="3"/>
      <c r="J111" s="3"/>
      <c r="K111" s="3"/>
      <c r="L111" s="3"/>
      <c r="M111" s="3">
        <v>5314.4027</v>
      </c>
      <c r="N111" s="3">
        <v>6572.074099999999</v>
      </c>
      <c r="O111" s="3"/>
      <c r="P111" s="3">
        <v>279</v>
      </c>
      <c r="Q111" s="3">
        <v>1804.98</v>
      </c>
      <c r="R111" s="3">
        <v>913.65</v>
      </c>
      <c r="S111" s="3">
        <v>2075.2</v>
      </c>
      <c r="T111" s="3"/>
      <c r="U111" s="3">
        <v>874.2350000000001</v>
      </c>
      <c r="V111" s="3">
        <v>3860.965000000001</v>
      </c>
      <c r="W111" s="3"/>
      <c r="X111" s="3"/>
      <c r="Y111" s="3">
        <v>1751.225</v>
      </c>
      <c r="Z111" s="3">
        <f>SUM(C111:X111)</f>
        <v>0</v>
      </c>
    </row>
    <row r="112" spans="1:26">
      <c r="A112" s="1" t="s">
        <v>82</v>
      </c>
      <c r="B112" s="2" t="s">
        <v>26</v>
      </c>
      <c r="C112" s="2">
        <v>276493</v>
      </c>
      <c r="D112" s="2">
        <v>52395</v>
      </c>
      <c r="E112" s="2">
        <v>8138</v>
      </c>
      <c r="F112" s="2"/>
      <c r="G112" s="2"/>
      <c r="H112" s="2"/>
      <c r="I112" s="2"/>
      <c r="J112" s="2"/>
      <c r="K112" s="2"/>
      <c r="L112" s="2"/>
      <c r="M112" s="2">
        <v>43685</v>
      </c>
      <c r="N112" s="2">
        <v>151305</v>
      </c>
      <c r="O112" s="2"/>
      <c r="P112" s="2">
        <v>20429</v>
      </c>
      <c r="Q112" s="2">
        <v>8102</v>
      </c>
      <c r="R112" s="2">
        <v>2489</v>
      </c>
      <c r="S112" s="2">
        <v>14440</v>
      </c>
      <c r="T112" s="2"/>
      <c r="U112" s="2">
        <v>17113</v>
      </c>
      <c r="V112" s="2">
        <v>15069</v>
      </c>
      <c r="W112" s="2"/>
      <c r="X112" s="2"/>
      <c r="Y112" s="2">
        <v>27818</v>
      </c>
      <c r="Z112" s="2">
        <f>SUM(C112:X112)</f>
        <v>0</v>
      </c>
    </row>
    <row r="113" spans="1:26">
      <c r="A113" s="1"/>
      <c r="B113" s="3" t="s">
        <v>27</v>
      </c>
      <c r="C113" s="3">
        <v>29400.39939999999</v>
      </c>
      <c r="D113" s="3">
        <v>9148.8264</v>
      </c>
      <c r="E113" s="3">
        <v>4182.169599999999</v>
      </c>
      <c r="F113" s="3"/>
      <c r="G113" s="3"/>
      <c r="H113" s="3"/>
      <c r="I113" s="3"/>
      <c r="J113" s="3"/>
      <c r="K113" s="3"/>
      <c r="L113" s="3"/>
      <c r="M113" s="3">
        <v>6312.1445</v>
      </c>
      <c r="N113" s="3">
        <v>7411.972399999996</v>
      </c>
      <c r="O113" s="3"/>
      <c r="P113" s="3">
        <v>2728.352</v>
      </c>
      <c r="Q113" s="3">
        <v>1214.534</v>
      </c>
      <c r="R113" s="3">
        <v>645.2855000000001</v>
      </c>
      <c r="S113" s="3">
        <v>1929.24</v>
      </c>
      <c r="T113" s="3"/>
      <c r="U113" s="3">
        <v>1581.817</v>
      </c>
      <c r="V113" s="3">
        <v>4305.0735</v>
      </c>
      <c r="W113" s="3"/>
      <c r="X113" s="3"/>
      <c r="Y113" s="3">
        <v>1208.95</v>
      </c>
      <c r="Z113" s="3">
        <f>SUM(C113:X113)</f>
        <v>0</v>
      </c>
    </row>
    <row r="114" spans="1:26">
      <c r="A114" s="1" t="s">
        <v>83</v>
      </c>
      <c r="B114" s="2" t="s">
        <v>26</v>
      </c>
      <c r="C114" s="2">
        <v>293990</v>
      </c>
      <c r="D114" s="2">
        <v>65290</v>
      </c>
      <c r="E114" s="2">
        <v>7539</v>
      </c>
      <c r="F114" s="2"/>
      <c r="G114" s="2"/>
      <c r="H114" s="2"/>
      <c r="I114" s="2"/>
      <c r="J114" s="2"/>
      <c r="K114" s="2"/>
      <c r="L114" s="2"/>
      <c r="M114" s="2">
        <v>46274</v>
      </c>
      <c r="N114" s="2">
        <v>105596</v>
      </c>
      <c r="O114" s="2"/>
      <c r="P114" s="2">
        <v>400</v>
      </c>
      <c r="Q114" s="2">
        <v>8660</v>
      </c>
      <c r="R114" s="2">
        <v>8840</v>
      </c>
      <c r="S114" s="2">
        <v>2000</v>
      </c>
      <c r="T114" s="2"/>
      <c r="U114" s="2">
        <v>8603</v>
      </c>
      <c r="V114" s="2">
        <v>15914</v>
      </c>
      <c r="W114" s="2"/>
      <c r="X114" s="2"/>
      <c r="Y114" s="2">
        <v>57427</v>
      </c>
      <c r="Z114" s="2">
        <f>SUM(C114:X114)</f>
        <v>0</v>
      </c>
    </row>
    <row r="115" spans="1:26">
      <c r="A115" s="1"/>
      <c r="B115" s="3" t="s">
        <v>27</v>
      </c>
      <c r="C115" s="3">
        <v>32032.65590000002</v>
      </c>
      <c r="D115" s="3">
        <v>11321.9366</v>
      </c>
      <c r="E115" s="3">
        <v>3414.0726</v>
      </c>
      <c r="F115" s="3"/>
      <c r="G115" s="3"/>
      <c r="H115" s="3"/>
      <c r="I115" s="3"/>
      <c r="J115" s="3"/>
      <c r="K115" s="3"/>
      <c r="L115" s="3"/>
      <c r="M115" s="3">
        <v>6664.034200000001</v>
      </c>
      <c r="N115" s="3">
        <v>5031.107099999999</v>
      </c>
      <c r="O115" s="3"/>
      <c r="P115" s="3">
        <v>73.11</v>
      </c>
      <c r="Q115" s="3">
        <v>1255.082</v>
      </c>
      <c r="R115" s="3">
        <v>2203.764</v>
      </c>
      <c r="S115" s="3">
        <v>270</v>
      </c>
      <c r="T115" s="3"/>
      <c r="U115" s="3">
        <v>1130.549</v>
      </c>
      <c r="V115" s="3">
        <v>4507.9571</v>
      </c>
      <c r="W115" s="3"/>
      <c r="X115" s="3"/>
      <c r="Y115" s="3">
        <v>2343.942999999999</v>
      </c>
      <c r="Z115" s="3">
        <f>SUM(C115:X115)</f>
        <v>0</v>
      </c>
    </row>
    <row r="116" spans="1:26">
      <c r="A116" s="1" t="s">
        <v>84</v>
      </c>
      <c r="B116" s="2" t="s">
        <v>26</v>
      </c>
      <c r="C116" s="2">
        <v>229448</v>
      </c>
      <c r="D116" s="2">
        <v>70794</v>
      </c>
      <c r="E116" s="2">
        <v>16072</v>
      </c>
      <c r="F116" s="2"/>
      <c r="G116" s="2"/>
      <c r="H116" s="2"/>
      <c r="I116" s="2"/>
      <c r="J116" s="2"/>
      <c r="K116" s="2"/>
      <c r="L116" s="2"/>
      <c r="M116" s="2">
        <v>50748</v>
      </c>
      <c r="N116" s="2">
        <v>62950</v>
      </c>
      <c r="O116" s="2"/>
      <c r="P116" s="2">
        <v>8875</v>
      </c>
      <c r="Q116" s="2">
        <v>13116</v>
      </c>
      <c r="R116" s="2">
        <v>4453</v>
      </c>
      <c r="S116" s="2">
        <v>7570</v>
      </c>
      <c r="T116" s="2">
        <v>6000</v>
      </c>
      <c r="U116" s="2">
        <v>11865</v>
      </c>
      <c r="V116" s="2">
        <v>8306</v>
      </c>
      <c r="W116" s="2"/>
      <c r="X116" s="2"/>
      <c r="Y116" s="2">
        <v>29983</v>
      </c>
      <c r="Z116" s="2">
        <f>SUM(C116:X116)</f>
        <v>0</v>
      </c>
    </row>
    <row r="117" spans="1:26">
      <c r="A117" s="1"/>
      <c r="B117" s="3" t="s">
        <v>27</v>
      </c>
      <c r="C117" s="3">
        <v>24176.09649999999</v>
      </c>
      <c r="D117" s="3">
        <v>12222.38</v>
      </c>
      <c r="E117" s="3">
        <v>7359.977999999999</v>
      </c>
      <c r="F117" s="3"/>
      <c r="G117" s="3"/>
      <c r="H117" s="3"/>
      <c r="I117" s="3"/>
      <c r="J117" s="3"/>
      <c r="K117" s="3"/>
      <c r="L117" s="3"/>
      <c r="M117" s="3">
        <v>7006.876999999999</v>
      </c>
      <c r="N117" s="3">
        <v>3303.5252</v>
      </c>
      <c r="O117" s="3"/>
      <c r="P117" s="3">
        <v>1033.475</v>
      </c>
      <c r="Q117" s="3">
        <v>1621.416</v>
      </c>
      <c r="R117" s="3">
        <v>979.9</v>
      </c>
      <c r="S117" s="3">
        <v>1041.71</v>
      </c>
      <c r="T117" s="3">
        <v>817.75</v>
      </c>
      <c r="U117" s="3">
        <v>1319.171</v>
      </c>
      <c r="V117" s="3">
        <v>2322.03</v>
      </c>
      <c r="W117" s="3"/>
      <c r="X117" s="3"/>
      <c r="Y117" s="3">
        <v>2052.8175</v>
      </c>
      <c r="Z117" s="3">
        <f>SUM(C117:X117)</f>
        <v>0</v>
      </c>
    </row>
    <row r="118" spans="1:26">
      <c r="A118" s="1" t="s">
        <v>85</v>
      </c>
      <c r="B118" s="2" t="s">
        <v>26</v>
      </c>
      <c r="C118" s="2">
        <v>102683</v>
      </c>
      <c r="D118" s="2">
        <v>123200</v>
      </c>
      <c r="E118" s="2">
        <v>59228</v>
      </c>
      <c r="F118" s="2"/>
      <c r="G118" s="2"/>
      <c r="H118" s="2"/>
      <c r="I118" s="2"/>
      <c r="J118" s="2"/>
      <c r="K118" s="2"/>
      <c r="L118" s="2"/>
      <c r="M118" s="2">
        <v>109540</v>
      </c>
      <c r="N118" s="2">
        <v>187885</v>
      </c>
      <c r="O118" s="2"/>
      <c r="P118" s="2">
        <v>3663</v>
      </c>
      <c r="Q118" s="2">
        <v>18145</v>
      </c>
      <c r="R118" s="2">
        <v>10586</v>
      </c>
      <c r="S118" s="2">
        <v>17430</v>
      </c>
      <c r="T118" s="2">
        <v>3900</v>
      </c>
      <c r="U118" s="2">
        <v>32834</v>
      </c>
      <c r="V118" s="2">
        <v>12352</v>
      </c>
      <c r="W118" s="2"/>
      <c r="X118" s="2"/>
      <c r="Y118" s="2">
        <v>21960</v>
      </c>
      <c r="Z118" s="2">
        <f>SUM(C118:X118)</f>
        <v>0</v>
      </c>
    </row>
    <row r="119" spans="1:26">
      <c r="A119" s="1"/>
      <c r="B119" s="3" t="s">
        <v>27</v>
      </c>
      <c r="C119" s="3">
        <v>11065.3964</v>
      </c>
      <c r="D119" s="3">
        <v>21573.29</v>
      </c>
      <c r="E119" s="3">
        <v>28050.32880000001</v>
      </c>
      <c r="F119" s="3"/>
      <c r="G119" s="3"/>
      <c r="H119" s="3"/>
      <c r="I119" s="3"/>
      <c r="J119" s="3"/>
      <c r="K119" s="3"/>
      <c r="L119" s="3"/>
      <c r="M119" s="3">
        <v>14988.4575</v>
      </c>
      <c r="N119" s="3">
        <v>12679.14749784106</v>
      </c>
      <c r="O119" s="3"/>
      <c r="P119" s="3">
        <v>402.93</v>
      </c>
      <c r="Q119" s="3">
        <v>1618.3832</v>
      </c>
      <c r="R119" s="3">
        <v>2440.3583</v>
      </c>
      <c r="S119" s="3">
        <v>2463.02</v>
      </c>
      <c r="T119" s="3">
        <v>524.0400000000001</v>
      </c>
      <c r="U119" s="3">
        <v>4004.9</v>
      </c>
      <c r="V119" s="3">
        <v>3486.849000000002</v>
      </c>
      <c r="W119" s="3"/>
      <c r="X119" s="3"/>
      <c r="Y119" s="3">
        <v>822.5744999999999</v>
      </c>
      <c r="Z119" s="3">
        <f>SUM(C119:X119)</f>
        <v>0</v>
      </c>
    </row>
    <row r="120" spans="1:26">
      <c r="A120" s="1" t="s">
        <v>86</v>
      </c>
      <c r="B120" s="2" t="s">
        <v>26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>
        <f>SUM(C120:X120)</f>
        <v>0</v>
      </c>
    </row>
    <row r="121" spans="1:26">
      <c r="A121" s="1"/>
      <c r="B121" s="3" t="s">
        <v>27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f>SUM(C121:X121)</f>
        <v>0</v>
      </c>
    </row>
    <row r="122" spans="1:26">
      <c r="A122" s="1" t="s">
        <v>87</v>
      </c>
      <c r="B122" s="2" t="s">
        <v>26</v>
      </c>
      <c r="C122" s="2">
        <v>16945</v>
      </c>
      <c r="D122" s="2">
        <v>5956</v>
      </c>
      <c r="E122" s="2">
        <v>16338</v>
      </c>
      <c r="F122" s="2"/>
      <c r="G122" s="2"/>
      <c r="H122" s="2"/>
      <c r="I122" s="2"/>
      <c r="J122" s="2"/>
      <c r="K122" s="2"/>
      <c r="L122" s="2"/>
      <c r="M122" s="2">
        <v>68760</v>
      </c>
      <c r="N122" s="2">
        <v>154862</v>
      </c>
      <c r="O122" s="2"/>
      <c r="P122" s="2"/>
      <c r="Q122" s="2">
        <v>4563</v>
      </c>
      <c r="R122" s="2">
        <v>8865</v>
      </c>
      <c r="S122" s="2">
        <v>2100</v>
      </c>
      <c r="T122" s="2"/>
      <c r="U122" s="2">
        <v>37824</v>
      </c>
      <c r="V122" s="2">
        <v>11776</v>
      </c>
      <c r="W122" s="2"/>
      <c r="X122" s="2"/>
      <c r="Y122" s="2">
        <v>15000</v>
      </c>
      <c r="Z122" s="2">
        <f>SUM(C122:X122)</f>
        <v>0</v>
      </c>
    </row>
    <row r="123" spans="1:26">
      <c r="A123" s="1"/>
      <c r="B123" s="3" t="s">
        <v>27</v>
      </c>
      <c r="C123" s="3">
        <v>1914.9</v>
      </c>
      <c r="D123" s="3">
        <v>1039.88</v>
      </c>
      <c r="E123" s="3">
        <v>7502.809400000001</v>
      </c>
      <c r="F123" s="3"/>
      <c r="G123" s="3"/>
      <c r="H123" s="3"/>
      <c r="I123" s="3"/>
      <c r="J123" s="3"/>
      <c r="K123" s="3"/>
      <c r="L123" s="3"/>
      <c r="M123" s="3">
        <v>9679.992500000002</v>
      </c>
      <c r="N123" s="3">
        <v>9093.142899999999</v>
      </c>
      <c r="O123" s="3"/>
      <c r="P123" s="3"/>
      <c r="Q123" s="3">
        <v>395.1558</v>
      </c>
      <c r="R123" s="3">
        <v>2050.0068</v>
      </c>
      <c r="S123" s="3">
        <v>291.3</v>
      </c>
      <c r="T123" s="3"/>
      <c r="U123" s="3">
        <v>4674.880000000001</v>
      </c>
      <c r="V123" s="3">
        <v>3247.279999999999</v>
      </c>
      <c r="W123" s="3"/>
      <c r="X123" s="3"/>
      <c r="Y123" s="3">
        <v>300</v>
      </c>
      <c r="Z123" s="3">
        <f>SUM(C123:X123)</f>
        <v>0</v>
      </c>
    </row>
    <row r="124" spans="1:26">
      <c r="A124" s="1" t="s">
        <v>88</v>
      </c>
      <c r="B124" s="2" t="s">
        <v>26</v>
      </c>
      <c r="C124" s="2">
        <v>9472</v>
      </c>
      <c r="D124" s="2">
        <v>2589</v>
      </c>
      <c r="E124" s="2">
        <v>2438</v>
      </c>
      <c r="F124" s="2"/>
      <c r="G124" s="2"/>
      <c r="H124" s="2"/>
      <c r="I124" s="2"/>
      <c r="J124" s="2"/>
      <c r="K124" s="2"/>
      <c r="L124" s="2"/>
      <c r="M124" s="2">
        <v>67940</v>
      </c>
      <c r="N124" s="2">
        <v>183670</v>
      </c>
      <c r="O124" s="2"/>
      <c r="P124" s="2">
        <v>3114</v>
      </c>
      <c r="Q124" s="2">
        <v>2379</v>
      </c>
      <c r="R124" s="2">
        <v>1152</v>
      </c>
      <c r="S124" s="2">
        <v>6381</v>
      </c>
      <c r="T124" s="2"/>
      <c r="U124" s="2">
        <v>19864</v>
      </c>
      <c r="V124" s="2">
        <v>10305</v>
      </c>
      <c r="W124" s="2"/>
      <c r="X124" s="2"/>
      <c r="Y124" s="2">
        <v>16346</v>
      </c>
      <c r="Z124" s="2">
        <f>SUM(C124:X124)</f>
        <v>0</v>
      </c>
    </row>
    <row r="125" spans="1:26">
      <c r="A125" s="1"/>
      <c r="B125" s="3" t="s">
        <v>27</v>
      </c>
      <c r="C125" s="3">
        <v>1059.905</v>
      </c>
      <c r="D125" s="3">
        <v>466.02</v>
      </c>
      <c r="E125" s="3">
        <v>1276.8578</v>
      </c>
      <c r="F125" s="3"/>
      <c r="G125" s="3"/>
      <c r="H125" s="3"/>
      <c r="I125" s="3"/>
      <c r="J125" s="3"/>
      <c r="K125" s="3"/>
      <c r="L125" s="3"/>
      <c r="M125" s="3">
        <v>9653.889999999999</v>
      </c>
      <c r="N125" s="3">
        <v>10872.45769999999</v>
      </c>
      <c r="O125" s="3"/>
      <c r="P125" s="3">
        <v>449.3455</v>
      </c>
      <c r="Q125" s="3">
        <v>206.0214</v>
      </c>
      <c r="R125" s="3">
        <v>222.8592</v>
      </c>
      <c r="S125" s="3">
        <v>852.03</v>
      </c>
      <c r="T125" s="3"/>
      <c r="U125" s="3">
        <v>2424.88</v>
      </c>
      <c r="V125" s="3">
        <v>2937.577500000001</v>
      </c>
      <c r="W125" s="3"/>
      <c r="X125" s="3"/>
      <c r="Y125" s="3">
        <v>1582.978</v>
      </c>
      <c r="Z125" s="3">
        <f>SUM(C125:X125)</f>
        <v>0</v>
      </c>
    </row>
    <row r="126" spans="1:26">
      <c r="A126" s="1" t="s">
        <v>89</v>
      </c>
      <c r="B126" s="2" t="s">
        <v>26</v>
      </c>
      <c r="C126" s="2">
        <v>11063</v>
      </c>
      <c r="D126" s="2">
        <v>10409</v>
      </c>
      <c r="E126" s="2">
        <v>15635</v>
      </c>
      <c r="F126" s="2"/>
      <c r="G126" s="2"/>
      <c r="H126" s="2"/>
      <c r="I126" s="2"/>
      <c r="J126" s="2"/>
      <c r="K126" s="2"/>
      <c r="L126" s="2"/>
      <c r="M126" s="2">
        <v>56850</v>
      </c>
      <c r="N126" s="2">
        <v>95052</v>
      </c>
      <c r="O126" s="2"/>
      <c r="P126" s="2">
        <v>1520</v>
      </c>
      <c r="Q126" s="2">
        <v>2584</v>
      </c>
      <c r="R126" s="2">
        <v>787</v>
      </c>
      <c r="S126" s="2">
        <v>2675</v>
      </c>
      <c r="T126" s="2"/>
      <c r="U126" s="2">
        <v>30255</v>
      </c>
      <c r="V126" s="2">
        <v>9963</v>
      </c>
      <c r="W126" s="2"/>
      <c r="X126" s="2"/>
      <c r="Y126" s="2">
        <v>17183</v>
      </c>
      <c r="Z126" s="2">
        <f>SUM(C126:X126)</f>
        <v>0</v>
      </c>
    </row>
    <row r="127" spans="1:26">
      <c r="A127" s="1"/>
      <c r="B127" s="3" t="s">
        <v>27</v>
      </c>
      <c r="C127" s="3">
        <v>2101.3206</v>
      </c>
      <c r="D127" s="3">
        <v>2702.771</v>
      </c>
      <c r="E127" s="3">
        <v>8367.759</v>
      </c>
      <c r="F127" s="3"/>
      <c r="G127" s="3"/>
      <c r="H127" s="3"/>
      <c r="I127" s="3"/>
      <c r="J127" s="3"/>
      <c r="K127" s="3"/>
      <c r="L127" s="3"/>
      <c r="M127" s="3">
        <v>7971.950000000001</v>
      </c>
      <c r="N127" s="3">
        <v>5419.018735765168</v>
      </c>
      <c r="O127" s="3"/>
      <c r="P127" s="3">
        <v>219.165</v>
      </c>
      <c r="Q127" s="3">
        <v>620.16</v>
      </c>
      <c r="R127" s="3">
        <v>254.36</v>
      </c>
      <c r="S127" s="3">
        <v>360.35</v>
      </c>
      <c r="T127" s="3"/>
      <c r="U127" s="3">
        <v>3735.904999999999</v>
      </c>
      <c r="V127" s="3">
        <v>2809.619999999999</v>
      </c>
      <c r="W127" s="3"/>
      <c r="X127" s="3"/>
      <c r="Y127" s="3">
        <v>1223.2035</v>
      </c>
      <c r="Z127" s="3">
        <f>SUM(C127:X127)</f>
        <v>0</v>
      </c>
    </row>
    <row r="128" spans="1:26">
      <c r="A128" s="1" t="s">
        <v>90</v>
      </c>
      <c r="B128" s="2" t="s">
        <v>26</v>
      </c>
      <c r="C128" s="2">
        <v>5453</v>
      </c>
      <c r="D128" s="2">
        <v>29627</v>
      </c>
      <c r="E128" s="2">
        <v>9529</v>
      </c>
      <c r="F128" s="2"/>
      <c r="G128" s="2"/>
      <c r="H128" s="2"/>
      <c r="I128" s="2"/>
      <c r="J128" s="2"/>
      <c r="K128" s="2"/>
      <c r="L128" s="2"/>
      <c r="M128" s="2">
        <v>39673</v>
      </c>
      <c r="N128" s="2">
        <v>104914</v>
      </c>
      <c r="O128" s="2"/>
      <c r="P128" s="2"/>
      <c r="Q128" s="2">
        <v>10704</v>
      </c>
      <c r="R128" s="2">
        <v>1080</v>
      </c>
      <c r="S128" s="2">
        <v>840</v>
      </c>
      <c r="T128" s="2"/>
      <c r="U128" s="2">
        <v>25151</v>
      </c>
      <c r="V128" s="2">
        <v>10060</v>
      </c>
      <c r="W128" s="2"/>
      <c r="X128" s="2"/>
      <c r="Y128" s="2"/>
      <c r="Z128" s="2">
        <f>SUM(C128:X128)</f>
        <v>0</v>
      </c>
    </row>
    <row r="129" spans="1:26">
      <c r="A129" s="1"/>
      <c r="B129" s="3" t="s">
        <v>27</v>
      </c>
      <c r="C129" s="3">
        <v>560.4115</v>
      </c>
      <c r="D129" s="3">
        <v>6781.252500000001</v>
      </c>
      <c r="E129" s="3">
        <v>4538.4896</v>
      </c>
      <c r="F129" s="3"/>
      <c r="G129" s="3"/>
      <c r="H129" s="3"/>
      <c r="I129" s="3"/>
      <c r="J129" s="3"/>
      <c r="K129" s="3"/>
      <c r="L129" s="3"/>
      <c r="M129" s="3">
        <v>5589.875</v>
      </c>
      <c r="N129" s="3">
        <v>7281.204799999999</v>
      </c>
      <c r="O129" s="3"/>
      <c r="P129" s="3"/>
      <c r="Q129" s="3">
        <v>1501.66</v>
      </c>
      <c r="R129" s="3">
        <v>341.6</v>
      </c>
      <c r="S129" s="3">
        <v>111</v>
      </c>
      <c r="T129" s="3"/>
      <c r="U129" s="3">
        <v>3049.643</v>
      </c>
      <c r="V129" s="3">
        <v>3299.31</v>
      </c>
      <c r="W129" s="3"/>
      <c r="X129" s="3"/>
      <c r="Y129" s="3"/>
      <c r="Z129" s="3">
        <f>SUM(C129:X129)</f>
        <v>0</v>
      </c>
    </row>
    <row r="130" spans="1:26">
      <c r="A130" s="1" t="s">
        <v>91</v>
      </c>
      <c r="B130" s="2" t="s">
        <v>26</v>
      </c>
      <c r="C130" s="2">
        <v>163079</v>
      </c>
      <c r="D130" s="2">
        <v>10604</v>
      </c>
      <c r="E130" s="2">
        <v>3669</v>
      </c>
      <c r="F130" s="2"/>
      <c r="G130" s="2"/>
      <c r="H130" s="2"/>
      <c r="I130" s="2"/>
      <c r="J130" s="2"/>
      <c r="K130" s="2"/>
      <c r="L130" s="2">
        <v>1699</v>
      </c>
      <c r="M130" s="2">
        <v>30071</v>
      </c>
      <c r="N130" s="2">
        <v>102755</v>
      </c>
      <c r="O130" s="2"/>
      <c r="P130" s="2">
        <v>3343</v>
      </c>
      <c r="Q130" s="2">
        <v>22423</v>
      </c>
      <c r="R130" s="2">
        <v>2668</v>
      </c>
      <c r="S130" s="2">
        <v>3210</v>
      </c>
      <c r="T130" s="2">
        <v>2155</v>
      </c>
      <c r="U130" s="2">
        <v>27131</v>
      </c>
      <c r="V130" s="2">
        <v>5205</v>
      </c>
      <c r="W130" s="2"/>
      <c r="X130" s="2"/>
      <c r="Y130" s="2">
        <v>2941</v>
      </c>
      <c r="Z130" s="2">
        <f>SUM(C130:X130)</f>
        <v>0</v>
      </c>
    </row>
    <row r="131" spans="1:26">
      <c r="A131" s="1"/>
      <c r="B131" s="3" t="s">
        <v>27</v>
      </c>
      <c r="C131" s="3">
        <v>17402.3696</v>
      </c>
      <c r="D131" s="3">
        <v>2496.237</v>
      </c>
      <c r="E131" s="3">
        <v>2033.5045</v>
      </c>
      <c r="F131" s="3"/>
      <c r="G131" s="3"/>
      <c r="H131" s="3"/>
      <c r="I131" s="3"/>
      <c r="J131" s="3"/>
      <c r="K131" s="3"/>
      <c r="L131" s="3">
        <v>424.75</v>
      </c>
      <c r="M131" s="3">
        <v>4292.667499999999</v>
      </c>
      <c r="N131" s="3">
        <v>5429.630699999999</v>
      </c>
      <c r="O131" s="3"/>
      <c r="P131" s="3">
        <v>528.95</v>
      </c>
      <c r="Q131" s="3">
        <v>2614.68</v>
      </c>
      <c r="R131" s="3">
        <v>677.415</v>
      </c>
      <c r="S131" s="3">
        <v>385.2</v>
      </c>
      <c r="T131" s="3">
        <v>312.475</v>
      </c>
      <c r="U131" s="3">
        <v>3257.34</v>
      </c>
      <c r="V131" s="3">
        <v>1401.445</v>
      </c>
      <c r="W131" s="3"/>
      <c r="X131" s="3"/>
      <c r="Y131" s="3">
        <v>102.3135</v>
      </c>
      <c r="Z131" s="3">
        <f>SUM(C131:X131)</f>
        <v>0</v>
      </c>
    </row>
    <row r="132" spans="1:26">
      <c r="A132" s="1" t="s">
        <v>92</v>
      </c>
      <c r="B132" s="2" t="s">
        <v>26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>
        <f>SUM(C132:X132)</f>
        <v>0</v>
      </c>
    </row>
    <row r="133" spans="1:26">
      <c r="A133" s="1"/>
      <c r="B133" s="3" t="s">
        <v>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f>SUM(C133:X133)</f>
        <v>0</v>
      </c>
    </row>
    <row r="134" spans="1:26">
      <c r="A134" s="1" t="s">
        <v>93</v>
      </c>
      <c r="B134" s="2" t="s">
        <v>26</v>
      </c>
      <c r="C134" s="2">
        <v>183451</v>
      </c>
      <c r="D134" s="2">
        <v>4081</v>
      </c>
      <c r="E134" s="2">
        <v>1523</v>
      </c>
      <c r="F134" s="2"/>
      <c r="G134" s="2"/>
      <c r="H134" s="2"/>
      <c r="I134" s="2"/>
      <c r="J134" s="2"/>
      <c r="K134" s="2"/>
      <c r="L134" s="2">
        <v>818</v>
      </c>
      <c r="M134" s="2">
        <v>20242</v>
      </c>
      <c r="N134" s="2">
        <v>100068</v>
      </c>
      <c r="O134" s="2"/>
      <c r="P134" s="2">
        <v>4851</v>
      </c>
      <c r="Q134" s="2">
        <v>10754</v>
      </c>
      <c r="R134" s="2">
        <v>1713</v>
      </c>
      <c r="S134" s="2">
        <v>120</v>
      </c>
      <c r="T134" s="2">
        <v>4500</v>
      </c>
      <c r="U134" s="2">
        <v>23264</v>
      </c>
      <c r="V134" s="2">
        <v>2078</v>
      </c>
      <c r="W134" s="2"/>
      <c r="X134" s="2">
        <v>5000</v>
      </c>
      <c r="Y134" s="2">
        <v>16624</v>
      </c>
      <c r="Z134" s="2">
        <f>SUM(C134:X134)</f>
        <v>0</v>
      </c>
    </row>
    <row r="135" spans="1:26">
      <c r="A135" s="1"/>
      <c r="B135" s="3" t="s">
        <v>27</v>
      </c>
      <c r="C135" s="3">
        <v>20086.9989</v>
      </c>
      <c r="D135" s="3">
        <v>652.9599999999999</v>
      </c>
      <c r="E135" s="3">
        <v>913.8000000000001</v>
      </c>
      <c r="F135" s="3"/>
      <c r="G135" s="3"/>
      <c r="H135" s="3"/>
      <c r="I135" s="3"/>
      <c r="J135" s="3"/>
      <c r="K135" s="3"/>
      <c r="L135" s="3">
        <v>204.5</v>
      </c>
      <c r="M135" s="3">
        <v>2907.485000000001</v>
      </c>
      <c r="N135" s="3">
        <v>5758.733850000001</v>
      </c>
      <c r="O135" s="3"/>
      <c r="P135" s="3">
        <v>862.9125</v>
      </c>
      <c r="Q135" s="3">
        <v>1505.345</v>
      </c>
      <c r="R135" s="3">
        <v>393.99</v>
      </c>
      <c r="S135" s="3">
        <v>14.4</v>
      </c>
      <c r="T135" s="3">
        <v>652.5</v>
      </c>
      <c r="U135" s="3">
        <v>2791.679999999999</v>
      </c>
      <c r="V135" s="3">
        <v>560.0919999999999</v>
      </c>
      <c r="W135" s="3"/>
      <c r="X135" s="3">
        <v>3211.5</v>
      </c>
      <c r="Y135" s="3">
        <v>1371.992</v>
      </c>
      <c r="Z135" s="3">
        <f>SUM(C135:X135)</f>
        <v>0</v>
      </c>
    </row>
    <row r="136" spans="1:26">
      <c r="A136" s="1" t="s">
        <v>94</v>
      </c>
      <c r="B136" s="2" t="s">
        <v>26</v>
      </c>
      <c r="C136" s="2">
        <v>200735</v>
      </c>
      <c r="D136" s="2">
        <v>75</v>
      </c>
      <c r="E136" s="2">
        <v>1792</v>
      </c>
      <c r="F136" s="2"/>
      <c r="G136" s="2"/>
      <c r="H136" s="2"/>
      <c r="I136" s="2"/>
      <c r="J136" s="2"/>
      <c r="K136" s="2"/>
      <c r="L136" s="2"/>
      <c r="M136" s="2">
        <v>20334</v>
      </c>
      <c r="N136" s="2">
        <v>71062</v>
      </c>
      <c r="O136" s="2"/>
      <c r="P136" s="2">
        <v>12448</v>
      </c>
      <c r="Q136" s="2">
        <v>20716</v>
      </c>
      <c r="R136" s="2">
        <v>3257</v>
      </c>
      <c r="S136" s="2"/>
      <c r="T136" s="2">
        <v>10499</v>
      </c>
      <c r="U136" s="2">
        <v>30353</v>
      </c>
      <c r="V136" s="2">
        <v>1349</v>
      </c>
      <c r="W136" s="2"/>
      <c r="X136" s="2"/>
      <c r="Y136" s="2">
        <v>22896</v>
      </c>
      <c r="Z136" s="2">
        <f>SUM(C136:X136)</f>
        <v>0</v>
      </c>
    </row>
    <row r="137" spans="1:26">
      <c r="A137" s="1"/>
      <c r="B137" s="3" t="s">
        <v>27</v>
      </c>
      <c r="C137" s="3">
        <v>21420.299738</v>
      </c>
      <c r="D137" s="3">
        <v>13.44</v>
      </c>
      <c r="E137" s="3">
        <v>900.6224000000001</v>
      </c>
      <c r="F137" s="3"/>
      <c r="G137" s="3"/>
      <c r="H137" s="3"/>
      <c r="I137" s="3"/>
      <c r="J137" s="3"/>
      <c r="K137" s="3"/>
      <c r="L137" s="3"/>
      <c r="M137" s="3">
        <v>2812.6972</v>
      </c>
      <c r="N137" s="3">
        <v>4581.848750000001</v>
      </c>
      <c r="O137" s="3"/>
      <c r="P137" s="3">
        <v>1907.88</v>
      </c>
      <c r="Q137" s="3">
        <v>2888.35</v>
      </c>
      <c r="R137" s="3">
        <v>749.1099999999999</v>
      </c>
      <c r="S137" s="3"/>
      <c r="T137" s="3">
        <v>1522.355</v>
      </c>
      <c r="U137" s="3">
        <v>3642.36</v>
      </c>
      <c r="V137" s="3">
        <v>396.5964999999999</v>
      </c>
      <c r="W137" s="3"/>
      <c r="X137" s="3"/>
      <c r="Y137" s="3">
        <v>1005.468</v>
      </c>
      <c r="Z137" s="3">
        <f>SUM(C137:X137)</f>
        <v>0</v>
      </c>
    </row>
    <row r="138" spans="1:26">
      <c r="A138" s="1" t="s">
        <v>95</v>
      </c>
      <c r="B138" s="2" t="s">
        <v>26</v>
      </c>
      <c r="C138" s="2">
        <v>201252</v>
      </c>
      <c r="D138" s="2"/>
      <c r="E138" s="2">
        <v>830</v>
      </c>
      <c r="F138" s="2"/>
      <c r="G138" s="2"/>
      <c r="H138" s="2"/>
      <c r="I138" s="2"/>
      <c r="J138" s="2"/>
      <c r="K138" s="2"/>
      <c r="L138" s="2"/>
      <c r="M138" s="2">
        <v>20238</v>
      </c>
      <c r="N138" s="2">
        <v>61696</v>
      </c>
      <c r="O138" s="2"/>
      <c r="P138" s="2">
        <v>8314</v>
      </c>
      <c r="Q138" s="2">
        <v>12099</v>
      </c>
      <c r="R138" s="2">
        <v>5477</v>
      </c>
      <c r="S138" s="2"/>
      <c r="T138" s="2">
        <v>10890</v>
      </c>
      <c r="U138" s="2">
        <v>30270</v>
      </c>
      <c r="V138" s="2">
        <v>2281</v>
      </c>
      <c r="W138" s="2"/>
      <c r="X138" s="2"/>
      <c r="Y138" s="2">
        <v>179</v>
      </c>
      <c r="Z138" s="2">
        <f>SUM(C138:X138)</f>
        <v>0</v>
      </c>
    </row>
    <row r="139" spans="1:26">
      <c r="A139" s="1"/>
      <c r="B139" s="3" t="s">
        <v>27</v>
      </c>
      <c r="C139" s="3">
        <v>21976.86837400002</v>
      </c>
      <c r="D139" s="3"/>
      <c r="E139" s="3">
        <v>415.5786</v>
      </c>
      <c r="F139" s="3"/>
      <c r="G139" s="3"/>
      <c r="H139" s="3"/>
      <c r="I139" s="3"/>
      <c r="J139" s="3"/>
      <c r="K139" s="3"/>
      <c r="L139" s="3"/>
      <c r="M139" s="3">
        <v>2832.761100000001</v>
      </c>
      <c r="N139" s="3">
        <v>3281.81745</v>
      </c>
      <c r="O139" s="3"/>
      <c r="P139" s="3">
        <v>1259.23</v>
      </c>
      <c r="Q139" s="3">
        <v>1223.016</v>
      </c>
      <c r="R139" s="3">
        <v>1298.294</v>
      </c>
      <c r="S139" s="3"/>
      <c r="T139" s="3">
        <v>1534.58</v>
      </c>
      <c r="U139" s="3">
        <v>3615.3388</v>
      </c>
      <c r="V139" s="3">
        <v>634.66</v>
      </c>
      <c r="W139" s="3"/>
      <c r="X139" s="3"/>
      <c r="Y139" s="3">
        <v>19.332</v>
      </c>
      <c r="Z139" s="3">
        <f>SUM(C139:X139)</f>
        <v>0</v>
      </c>
    </row>
    <row r="140" spans="1:26">
      <c r="A140" s="1" t="s">
        <v>96</v>
      </c>
      <c r="B140" s="2" t="s">
        <v>26</v>
      </c>
      <c r="C140" s="2">
        <v>201653</v>
      </c>
      <c r="D140" s="2">
        <v>52366</v>
      </c>
      <c r="E140" s="2">
        <v>152</v>
      </c>
      <c r="F140" s="2"/>
      <c r="G140" s="2"/>
      <c r="H140" s="2"/>
      <c r="I140" s="2"/>
      <c r="J140" s="2"/>
      <c r="K140" s="2"/>
      <c r="L140" s="2">
        <v>1257</v>
      </c>
      <c r="M140" s="2">
        <v>20301</v>
      </c>
      <c r="N140" s="2">
        <v>27897</v>
      </c>
      <c r="O140" s="2"/>
      <c r="P140" s="2">
        <v>3041</v>
      </c>
      <c r="Q140" s="2">
        <v>12023</v>
      </c>
      <c r="R140" s="2">
        <v>8859</v>
      </c>
      <c r="S140" s="2"/>
      <c r="T140" s="2">
        <v>13935</v>
      </c>
      <c r="U140" s="2">
        <v>21110</v>
      </c>
      <c r="V140" s="2"/>
      <c r="W140" s="2"/>
      <c r="X140" s="2"/>
      <c r="Y140" s="2">
        <v>5391</v>
      </c>
      <c r="Z140" s="2">
        <f>SUM(C140:X140)</f>
        <v>0</v>
      </c>
    </row>
    <row r="141" spans="1:26">
      <c r="A141" s="1"/>
      <c r="B141" s="3" t="s">
        <v>27</v>
      </c>
      <c r="C141" s="3">
        <v>21640.02099400001</v>
      </c>
      <c r="D141" s="3">
        <v>9130.5435</v>
      </c>
      <c r="E141" s="3">
        <v>69.90479999999999</v>
      </c>
      <c r="F141" s="3"/>
      <c r="G141" s="3"/>
      <c r="H141" s="3"/>
      <c r="I141" s="3"/>
      <c r="J141" s="3"/>
      <c r="K141" s="3"/>
      <c r="L141" s="3">
        <v>314.25</v>
      </c>
      <c r="M141" s="3">
        <v>2826.657499999999</v>
      </c>
      <c r="N141" s="3">
        <v>1839.9635</v>
      </c>
      <c r="O141" s="3"/>
      <c r="P141" s="3">
        <v>425.155</v>
      </c>
      <c r="Q141" s="3">
        <v>928.8769000000002</v>
      </c>
      <c r="R141" s="3">
        <v>2077.779</v>
      </c>
      <c r="S141" s="3"/>
      <c r="T141" s="3">
        <v>1987.265</v>
      </c>
      <c r="U141" s="3">
        <v>2557.6076</v>
      </c>
      <c r="V141" s="3"/>
      <c r="W141" s="3"/>
      <c r="X141" s="3"/>
      <c r="Y141" s="3">
        <v>558.6729999999999</v>
      </c>
      <c r="Z141" s="3">
        <f>SUM(C141:X141)</f>
        <v>0</v>
      </c>
    </row>
    <row r="142" spans="1:26">
      <c r="A142" s="1" t="s">
        <v>97</v>
      </c>
      <c r="B142" s="2" t="s">
        <v>26</v>
      </c>
      <c r="C142" s="2">
        <v>260285</v>
      </c>
      <c r="D142" s="2">
        <v>76896</v>
      </c>
      <c r="E142" s="2"/>
      <c r="F142" s="2"/>
      <c r="G142" s="2"/>
      <c r="H142" s="2"/>
      <c r="I142" s="2"/>
      <c r="J142" s="2"/>
      <c r="K142" s="2"/>
      <c r="L142" s="2"/>
      <c r="M142" s="2">
        <v>15319</v>
      </c>
      <c r="N142" s="2">
        <v>36564</v>
      </c>
      <c r="O142" s="2"/>
      <c r="P142" s="2">
        <v>521</v>
      </c>
      <c r="Q142" s="2">
        <v>13921</v>
      </c>
      <c r="R142" s="2">
        <v>1724</v>
      </c>
      <c r="S142" s="2">
        <v>9380</v>
      </c>
      <c r="T142" s="2">
        <v>8425</v>
      </c>
      <c r="U142" s="2">
        <v>17951</v>
      </c>
      <c r="V142" s="2">
        <v>526</v>
      </c>
      <c r="W142" s="2"/>
      <c r="X142" s="2"/>
      <c r="Y142" s="2">
        <v>9550</v>
      </c>
      <c r="Z142" s="2">
        <f>SUM(C142:X142)</f>
        <v>0</v>
      </c>
    </row>
    <row r="143" spans="1:26">
      <c r="A143" s="1"/>
      <c r="B143" s="3" t="s">
        <v>27</v>
      </c>
      <c r="C143" s="3">
        <v>29916.33852600001</v>
      </c>
      <c r="D143" s="3">
        <v>13386.9701</v>
      </c>
      <c r="E143" s="3"/>
      <c r="F143" s="3"/>
      <c r="G143" s="3"/>
      <c r="H143" s="3"/>
      <c r="I143" s="3"/>
      <c r="J143" s="3"/>
      <c r="K143" s="3"/>
      <c r="L143" s="3"/>
      <c r="M143" s="3">
        <v>2146.184999999999</v>
      </c>
      <c r="N143" s="3">
        <v>3108.390899999999</v>
      </c>
      <c r="O143" s="3"/>
      <c r="P143" s="3">
        <v>104.95</v>
      </c>
      <c r="Q143" s="3">
        <v>1362.4499</v>
      </c>
      <c r="R143" s="3">
        <v>396.52</v>
      </c>
      <c r="S143" s="3">
        <v>1269.38</v>
      </c>
      <c r="T143" s="3">
        <v>1197.645</v>
      </c>
      <c r="U143" s="3">
        <v>2352.0384</v>
      </c>
      <c r="V143" s="3">
        <v>168.32</v>
      </c>
      <c r="W143" s="3"/>
      <c r="X143" s="3"/>
      <c r="Y143" s="3">
        <v>577.75</v>
      </c>
      <c r="Z143" s="3">
        <f>SUM(C143:X143)</f>
        <v>0</v>
      </c>
    </row>
    <row r="144" spans="1:26">
      <c r="A144" s="1" t="s">
        <v>98</v>
      </c>
      <c r="B144" s="2" t="s">
        <v>26</v>
      </c>
      <c r="C144" s="2">
        <v>238214</v>
      </c>
      <c r="D144" s="2">
        <v>79583</v>
      </c>
      <c r="E144" s="2">
        <v>1149</v>
      </c>
      <c r="F144" s="2"/>
      <c r="G144" s="2"/>
      <c r="H144" s="2"/>
      <c r="I144" s="2"/>
      <c r="J144" s="2"/>
      <c r="K144" s="2"/>
      <c r="L144" s="2"/>
      <c r="M144" s="2">
        <v>14242</v>
      </c>
      <c r="N144" s="2">
        <v>48887</v>
      </c>
      <c r="O144" s="2"/>
      <c r="P144" s="2">
        <v>3394</v>
      </c>
      <c r="Q144" s="2">
        <v>11033</v>
      </c>
      <c r="R144" s="2">
        <v>6543</v>
      </c>
      <c r="S144" s="2">
        <v>10210</v>
      </c>
      <c r="T144" s="2">
        <v>3581</v>
      </c>
      <c r="U144" s="2">
        <v>15689</v>
      </c>
      <c r="V144" s="2">
        <v>3293</v>
      </c>
      <c r="W144" s="2"/>
      <c r="X144" s="2"/>
      <c r="Y144" s="2">
        <v>210</v>
      </c>
      <c r="Z144" s="2">
        <f>SUM(C144:X144)</f>
        <v>0</v>
      </c>
    </row>
    <row r="145" spans="1:26">
      <c r="A145" s="1"/>
      <c r="B145" s="3" t="s">
        <v>27</v>
      </c>
      <c r="C145" s="3">
        <v>26577.93578200001</v>
      </c>
      <c r="D145" s="3">
        <v>13964.5719</v>
      </c>
      <c r="E145" s="3">
        <v>608.97</v>
      </c>
      <c r="F145" s="3"/>
      <c r="G145" s="3"/>
      <c r="H145" s="3"/>
      <c r="I145" s="3"/>
      <c r="J145" s="3"/>
      <c r="K145" s="3"/>
      <c r="L145" s="3"/>
      <c r="M145" s="3">
        <v>1994.095</v>
      </c>
      <c r="N145" s="3">
        <v>4000.992799999999</v>
      </c>
      <c r="O145" s="3"/>
      <c r="P145" s="3">
        <v>657.605</v>
      </c>
      <c r="Q145" s="3">
        <v>1283.4069</v>
      </c>
      <c r="R145" s="3">
        <v>1535.583</v>
      </c>
      <c r="S145" s="3">
        <v>1422.61</v>
      </c>
      <c r="T145" s="3">
        <v>510.155</v>
      </c>
      <c r="U145" s="3">
        <v>2057.6232</v>
      </c>
      <c r="V145" s="3">
        <v>1049.635</v>
      </c>
      <c r="W145" s="3"/>
      <c r="X145" s="3"/>
      <c r="Y145" s="3">
        <v>21.735</v>
      </c>
      <c r="Z145" s="3">
        <f>SUM(C145:X145)</f>
        <v>0</v>
      </c>
    </row>
    <row r="146" spans="1:26">
      <c r="A146" s="1" t="s">
        <v>99</v>
      </c>
      <c r="B146" s="2" t="s">
        <v>26</v>
      </c>
      <c r="C146" s="2">
        <v>205226</v>
      </c>
      <c r="D146" s="2">
        <v>51700</v>
      </c>
      <c r="E146" s="2">
        <v>8865</v>
      </c>
      <c r="F146" s="2"/>
      <c r="G146" s="2"/>
      <c r="H146" s="2"/>
      <c r="I146" s="2"/>
      <c r="J146" s="2"/>
      <c r="K146" s="2"/>
      <c r="L146" s="2"/>
      <c r="M146" s="2">
        <v>6037</v>
      </c>
      <c r="N146" s="2">
        <v>56565</v>
      </c>
      <c r="O146" s="2"/>
      <c r="P146" s="2">
        <v>7980</v>
      </c>
      <c r="Q146" s="2">
        <v>5083</v>
      </c>
      <c r="R146" s="2">
        <v>11741</v>
      </c>
      <c r="S146" s="2">
        <v>8170</v>
      </c>
      <c r="T146" s="2">
        <v>2598</v>
      </c>
      <c r="U146" s="2">
        <v>10068</v>
      </c>
      <c r="V146" s="2">
        <v>4395</v>
      </c>
      <c r="W146" s="2"/>
      <c r="X146" s="2"/>
      <c r="Y146" s="2">
        <v>16890</v>
      </c>
      <c r="Z146" s="2">
        <f>SUM(C146:X146)</f>
        <v>0</v>
      </c>
    </row>
    <row r="147" spans="1:26">
      <c r="A147" s="1"/>
      <c r="B147" s="3" t="s">
        <v>27</v>
      </c>
      <c r="C147" s="3">
        <v>22562.30995000001</v>
      </c>
      <c r="D147" s="3">
        <v>8897.823499999999</v>
      </c>
      <c r="E147" s="3">
        <v>6034.7818</v>
      </c>
      <c r="F147" s="3"/>
      <c r="G147" s="3"/>
      <c r="H147" s="3"/>
      <c r="I147" s="3"/>
      <c r="J147" s="3"/>
      <c r="K147" s="3"/>
      <c r="L147" s="3"/>
      <c r="M147" s="3">
        <v>845.1800000000001</v>
      </c>
      <c r="N147" s="3">
        <v>4206.306599999999</v>
      </c>
      <c r="O147" s="3"/>
      <c r="P147" s="3">
        <v>1411.135</v>
      </c>
      <c r="Q147" s="3">
        <v>475.731</v>
      </c>
      <c r="R147" s="3">
        <v>2833.643</v>
      </c>
      <c r="S147" s="3">
        <v>1157.99</v>
      </c>
      <c r="T147" s="3">
        <v>376.7099999999999</v>
      </c>
      <c r="U147" s="3">
        <v>1306.415</v>
      </c>
      <c r="V147" s="3">
        <v>1120.97</v>
      </c>
      <c r="W147" s="3"/>
      <c r="X147" s="3"/>
      <c r="Y147" s="3">
        <v>1175.38</v>
      </c>
      <c r="Z147" s="3">
        <f>SUM(C147:X147)</f>
        <v>0</v>
      </c>
    </row>
    <row r="148" spans="1:26">
      <c r="A148" s="1" t="s">
        <v>100</v>
      </c>
      <c r="B148" s="2" t="s">
        <v>26</v>
      </c>
      <c r="C148" s="2">
        <v>322039</v>
      </c>
      <c r="D148" s="2">
        <v>23720</v>
      </c>
      <c r="E148" s="2">
        <v>1507</v>
      </c>
      <c r="F148" s="2"/>
      <c r="G148" s="2"/>
      <c r="H148" s="2"/>
      <c r="I148" s="2"/>
      <c r="J148" s="2"/>
      <c r="K148" s="2"/>
      <c r="L148" s="2"/>
      <c r="M148" s="2">
        <v>1326</v>
      </c>
      <c r="N148" s="2">
        <v>25244</v>
      </c>
      <c r="O148" s="2"/>
      <c r="P148" s="2">
        <v>23809</v>
      </c>
      <c r="Q148" s="2">
        <v>4034</v>
      </c>
      <c r="R148" s="2">
        <v>10743</v>
      </c>
      <c r="S148" s="2">
        <v>4133</v>
      </c>
      <c r="T148" s="2">
        <v>992</v>
      </c>
      <c r="U148" s="2">
        <v>11477</v>
      </c>
      <c r="V148" s="2">
        <v>4037</v>
      </c>
      <c r="W148" s="2"/>
      <c r="X148" s="2"/>
      <c r="Y148" s="2">
        <v>15850</v>
      </c>
      <c r="Z148" s="2">
        <f>SUM(C148:X148)</f>
        <v>0</v>
      </c>
    </row>
    <row r="149" spans="1:26">
      <c r="A149" s="1"/>
      <c r="B149" s="3" t="s">
        <v>27</v>
      </c>
      <c r="C149" s="3">
        <v>33255.46724999999</v>
      </c>
      <c r="D149" s="3">
        <v>4359.92</v>
      </c>
      <c r="E149" s="3">
        <v>877.046</v>
      </c>
      <c r="F149" s="3"/>
      <c r="G149" s="3"/>
      <c r="H149" s="3"/>
      <c r="I149" s="3"/>
      <c r="J149" s="3"/>
      <c r="K149" s="3"/>
      <c r="L149" s="3"/>
      <c r="M149" s="3">
        <v>185.64</v>
      </c>
      <c r="N149" s="3">
        <v>2607.6276</v>
      </c>
      <c r="O149" s="3"/>
      <c r="P149" s="3">
        <v>4601.7025</v>
      </c>
      <c r="Q149" s="3">
        <v>747.9417999999999</v>
      </c>
      <c r="R149" s="3">
        <v>2610.549</v>
      </c>
      <c r="S149" s="3">
        <v>550.74</v>
      </c>
      <c r="T149" s="3">
        <v>143.84</v>
      </c>
      <c r="U149" s="3">
        <v>1543.62</v>
      </c>
      <c r="V149" s="3">
        <v>1221.8759</v>
      </c>
      <c r="W149" s="3"/>
      <c r="X149" s="3"/>
      <c r="Y149" s="3">
        <v>837.7</v>
      </c>
      <c r="Z149" s="3">
        <f>SUM(C149:X149)</f>
        <v>0</v>
      </c>
    </row>
    <row r="150" spans="1:26">
      <c r="A150" s="1" t="s">
        <v>101</v>
      </c>
      <c r="B150" s="2" t="s">
        <v>26</v>
      </c>
      <c r="C150" s="2">
        <v>400195</v>
      </c>
      <c r="D150" s="2">
        <v>7815</v>
      </c>
      <c r="E150" s="2">
        <v>2033</v>
      </c>
      <c r="F150" s="2"/>
      <c r="G150" s="2"/>
      <c r="H150" s="2"/>
      <c r="I150" s="2"/>
      <c r="J150" s="2"/>
      <c r="K150" s="2"/>
      <c r="L150" s="2"/>
      <c r="M150" s="2">
        <v>150</v>
      </c>
      <c r="N150" s="2">
        <v>51232</v>
      </c>
      <c r="O150" s="2"/>
      <c r="P150" s="2">
        <v>12562</v>
      </c>
      <c r="Q150" s="2">
        <v>9447</v>
      </c>
      <c r="R150" s="2">
        <v>19384</v>
      </c>
      <c r="S150" s="2">
        <v>535</v>
      </c>
      <c r="T150" s="2">
        <v>5331</v>
      </c>
      <c r="U150" s="2">
        <v>3733</v>
      </c>
      <c r="V150" s="2">
        <v>2877</v>
      </c>
      <c r="W150" s="2"/>
      <c r="X150" s="2"/>
      <c r="Y150" s="2"/>
      <c r="Z150" s="2">
        <f>SUM(C150:X150)</f>
        <v>0</v>
      </c>
    </row>
    <row r="151" spans="1:26">
      <c r="A151" s="1"/>
      <c r="B151" s="3" t="s">
        <v>27</v>
      </c>
      <c r="C151" s="3">
        <v>42039.43624999999</v>
      </c>
      <c r="D151" s="3">
        <v>1948.95</v>
      </c>
      <c r="E151" s="3">
        <v>1135.868</v>
      </c>
      <c r="F151" s="3"/>
      <c r="G151" s="3"/>
      <c r="H151" s="3"/>
      <c r="I151" s="3"/>
      <c r="J151" s="3"/>
      <c r="K151" s="3"/>
      <c r="L151" s="3"/>
      <c r="M151" s="3">
        <v>21</v>
      </c>
      <c r="N151" s="3">
        <v>4898.0684</v>
      </c>
      <c r="O151" s="3"/>
      <c r="P151" s="3">
        <v>2167.5375</v>
      </c>
      <c r="Q151" s="3">
        <v>1339.4535</v>
      </c>
      <c r="R151" s="3">
        <v>4427.038</v>
      </c>
      <c r="S151" s="3">
        <v>73.22999999999999</v>
      </c>
      <c r="T151" s="3">
        <v>796.5949999999999</v>
      </c>
      <c r="U151" s="3">
        <v>522.6200000000001</v>
      </c>
      <c r="V151" s="3">
        <v>887.0166999999998</v>
      </c>
      <c r="W151" s="3"/>
      <c r="X151" s="3"/>
      <c r="Y151" s="3"/>
      <c r="Z151" s="3">
        <f>SUM(C151:X151)</f>
        <v>0</v>
      </c>
    </row>
    <row r="152" spans="1:26">
      <c r="A152" s="1" t="s">
        <v>102</v>
      </c>
      <c r="B152" s="2" t="s">
        <v>26</v>
      </c>
      <c r="C152" s="2">
        <v>360315</v>
      </c>
      <c r="D152" s="2">
        <v>10195</v>
      </c>
      <c r="E152" s="2"/>
      <c r="F152" s="2"/>
      <c r="G152" s="2"/>
      <c r="H152" s="2"/>
      <c r="I152" s="2"/>
      <c r="J152" s="2"/>
      <c r="K152" s="2"/>
      <c r="L152" s="2"/>
      <c r="M152" s="2">
        <v>5012</v>
      </c>
      <c r="N152" s="2">
        <v>11042</v>
      </c>
      <c r="O152" s="2"/>
      <c r="P152" s="2">
        <v>4358</v>
      </c>
      <c r="Q152" s="2">
        <v>27979</v>
      </c>
      <c r="R152" s="2">
        <v>18976</v>
      </c>
      <c r="S152" s="2"/>
      <c r="T152" s="2"/>
      <c r="U152" s="2">
        <v>483</v>
      </c>
      <c r="V152" s="2">
        <v>639</v>
      </c>
      <c r="W152" s="2"/>
      <c r="X152" s="2"/>
      <c r="Y152" s="2">
        <v>17525</v>
      </c>
      <c r="Z152" s="2">
        <f>SUM(C152:X152)</f>
        <v>0</v>
      </c>
    </row>
    <row r="153" spans="1:26">
      <c r="A153" s="1"/>
      <c r="B153" s="3" t="s">
        <v>27</v>
      </c>
      <c r="C153" s="3">
        <v>37001.18600000004</v>
      </c>
      <c r="D153" s="3">
        <v>2548.75</v>
      </c>
      <c r="E153" s="3"/>
      <c r="F153" s="3"/>
      <c r="G153" s="3"/>
      <c r="H153" s="3"/>
      <c r="I153" s="3"/>
      <c r="J153" s="3"/>
      <c r="K153" s="3"/>
      <c r="L153" s="3"/>
      <c r="M153" s="3">
        <v>701.6800000000001</v>
      </c>
      <c r="N153" s="3">
        <v>976.6900000000001</v>
      </c>
      <c r="O153" s="3"/>
      <c r="P153" s="3">
        <v>1175.78</v>
      </c>
      <c r="Q153" s="3">
        <v>3385.4575</v>
      </c>
      <c r="R153" s="3">
        <v>4514.858999999999</v>
      </c>
      <c r="S153" s="3"/>
      <c r="T153" s="3"/>
      <c r="U153" s="3">
        <v>67.62</v>
      </c>
      <c r="V153" s="3">
        <v>174.2777</v>
      </c>
      <c r="W153" s="3"/>
      <c r="X153" s="3"/>
      <c r="Y153" s="3">
        <v>1101.8757467415</v>
      </c>
      <c r="Z153" s="3">
        <f>SUM(C153:X153)</f>
        <v>0</v>
      </c>
    </row>
    <row r="154" spans="1:26">
      <c r="A154" s="1" t="s">
        <v>103</v>
      </c>
      <c r="B154" s="2" t="s">
        <v>26</v>
      </c>
      <c r="C154" s="2">
        <v>412737</v>
      </c>
      <c r="D154" s="2">
        <v>6281</v>
      </c>
      <c r="E154" s="2">
        <v>108</v>
      </c>
      <c r="F154" s="2"/>
      <c r="G154" s="2"/>
      <c r="H154" s="2"/>
      <c r="I154" s="2"/>
      <c r="J154" s="2"/>
      <c r="K154" s="2"/>
      <c r="L154" s="2"/>
      <c r="M154" s="2">
        <v>5819</v>
      </c>
      <c r="N154" s="2">
        <v>3670</v>
      </c>
      <c r="O154" s="2"/>
      <c r="P154" s="2">
        <v>3834</v>
      </c>
      <c r="Q154" s="2">
        <v>12684</v>
      </c>
      <c r="R154" s="2">
        <v>10266</v>
      </c>
      <c r="S154" s="2">
        <v>970</v>
      </c>
      <c r="T154" s="2">
        <v>3414</v>
      </c>
      <c r="U154" s="2"/>
      <c r="V154" s="2">
        <v>335</v>
      </c>
      <c r="W154" s="2"/>
      <c r="X154" s="2"/>
      <c r="Y154" s="2">
        <v>56375</v>
      </c>
      <c r="Z154" s="2">
        <f>SUM(C154:X154)</f>
        <v>0</v>
      </c>
    </row>
    <row r="155" spans="1:26">
      <c r="A155" s="1"/>
      <c r="B155" s="3" t="s">
        <v>27</v>
      </c>
      <c r="C155" s="3">
        <v>41189.20569999999</v>
      </c>
      <c r="D155" s="3">
        <v>1132.4643</v>
      </c>
      <c r="E155" s="3">
        <v>69.98400000000001</v>
      </c>
      <c r="F155" s="3"/>
      <c r="G155" s="3"/>
      <c r="H155" s="3"/>
      <c r="I155" s="3"/>
      <c r="J155" s="3"/>
      <c r="K155" s="3"/>
      <c r="L155" s="3"/>
      <c r="M155" s="3">
        <v>814.6600000000002</v>
      </c>
      <c r="N155" s="3">
        <v>513.8000000000001</v>
      </c>
      <c r="O155" s="3"/>
      <c r="P155" s="3">
        <v>859.7900000000001</v>
      </c>
      <c r="Q155" s="3">
        <v>1552.5924</v>
      </c>
      <c r="R155" s="3">
        <v>2462.0845</v>
      </c>
      <c r="S155" s="3">
        <v>137.39</v>
      </c>
      <c r="T155" s="3">
        <v>515.03</v>
      </c>
      <c r="U155" s="3"/>
      <c r="V155" s="3">
        <v>105.0865</v>
      </c>
      <c r="W155" s="3"/>
      <c r="X155" s="3"/>
      <c r="Y155" s="3">
        <v>2072.1</v>
      </c>
      <c r="Z155" s="3">
        <f>SUM(C155:X155)</f>
        <v>0</v>
      </c>
    </row>
    <row r="156" spans="1:26">
      <c r="A156" s="1" t="s">
        <v>104</v>
      </c>
      <c r="B156" s="2" t="s">
        <v>26</v>
      </c>
      <c r="C156" s="2">
        <v>402411</v>
      </c>
      <c r="D156" s="2">
        <v>3149</v>
      </c>
      <c r="E156" s="2"/>
      <c r="F156" s="2"/>
      <c r="G156" s="2"/>
      <c r="H156" s="2"/>
      <c r="I156" s="2"/>
      <c r="J156" s="2"/>
      <c r="K156" s="2"/>
      <c r="L156" s="2">
        <v>5531</v>
      </c>
      <c r="M156" s="2">
        <v>458</v>
      </c>
      <c r="N156" s="2">
        <v>22666</v>
      </c>
      <c r="O156" s="2"/>
      <c r="P156" s="2">
        <v>1526</v>
      </c>
      <c r="Q156" s="2">
        <v>25259</v>
      </c>
      <c r="R156" s="2">
        <v>10403</v>
      </c>
      <c r="S156" s="2">
        <v>6750</v>
      </c>
      <c r="T156" s="2">
        <v>2612</v>
      </c>
      <c r="U156" s="2">
        <v>740</v>
      </c>
      <c r="V156" s="2"/>
      <c r="W156" s="2"/>
      <c r="X156" s="2"/>
      <c r="Y156" s="2">
        <v>109673</v>
      </c>
      <c r="Z156" s="2">
        <f>SUM(C156:X156)</f>
        <v>0</v>
      </c>
    </row>
    <row r="157" spans="1:26">
      <c r="A157" s="1"/>
      <c r="B157" s="3" t="s">
        <v>27</v>
      </c>
      <c r="C157" s="3">
        <v>41156.73045000001</v>
      </c>
      <c r="D157" s="3">
        <v>567.7646999999999</v>
      </c>
      <c r="E157" s="3"/>
      <c r="F157" s="3"/>
      <c r="G157" s="3"/>
      <c r="H157" s="3"/>
      <c r="I157" s="3"/>
      <c r="J157" s="3"/>
      <c r="K157" s="3"/>
      <c r="L157" s="3">
        <v>1106.2</v>
      </c>
      <c r="M157" s="3">
        <v>64.12</v>
      </c>
      <c r="N157" s="3">
        <v>1024.2691</v>
      </c>
      <c r="O157" s="3"/>
      <c r="P157" s="3">
        <v>519</v>
      </c>
      <c r="Q157" s="3">
        <v>3269.049</v>
      </c>
      <c r="R157" s="3">
        <v>2108.737</v>
      </c>
      <c r="S157" s="3">
        <v>973.5500000000001</v>
      </c>
      <c r="T157" s="3">
        <v>384.64</v>
      </c>
      <c r="U157" s="3">
        <v>88.8</v>
      </c>
      <c r="V157" s="3"/>
      <c r="W157" s="3"/>
      <c r="X157" s="3"/>
      <c r="Y157" s="3">
        <v>8284.707999861001</v>
      </c>
      <c r="Z157" s="3">
        <f>SUM(C157:X157)</f>
        <v>0</v>
      </c>
    </row>
    <row r="158" spans="1:26">
      <c r="A158" s="1" t="s">
        <v>105</v>
      </c>
      <c r="B158" s="2" t="s">
        <v>26</v>
      </c>
      <c r="C158" s="2">
        <v>401426</v>
      </c>
      <c r="D158" s="2">
        <v>3440</v>
      </c>
      <c r="E158" s="2"/>
      <c r="F158" s="2"/>
      <c r="G158" s="2"/>
      <c r="H158" s="2"/>
      <c r="I158" s="2"/>
      <c r="J158" s="2"/>
      <c r="K158" s="2">
        <v>4547</v>
      </c>
      <c r="L158" s="2">
        <v>2599</v>
      </c>
      <c r="M158" s="2">
        <v>5014</v>
      </c>
      <c r="N158" s="2">
        <v>40378</v>
      </c>
      <c r="O158" s="2"/>
      <c r="P158" s="2">
        <v>8908</v>
      </c>
      <c r="Q158" s="2">
        <v>24742</v>
      </c>
      <c r="R158" s="2">
        <v>14453</v>
      </c>
      <c r="S158" s="2">
        <v>4205</v>
      </c>
      <c r="T158" s="2">
        <v>3841</v>
      </c>
      <c r="U158" s="2">
        <v>1176</v>
      </c>
      <c r="V158" s="2">
        <v>43</v>
      </c>
      <c r="W158" s="2"/>
      <c r="X158" s="2"/>
      <c r="Y158" s="2">
        <v>31782</v>
      </c>
      <c r="Z158" s="2">
        <f>SUM(C158:X158)</f>
        <v>0</v>
      </c>
    </row>
    <row r="159" spans="1:26">
      <c r="A159" s="1"/>
      <c r="B159" s="3" t="s">
        <v>27</v>
      </c>
      <c r="C159" s="3">
        <v>41835.72372367905</v>
      </c>
      <c r="D159" s="3">
        <v>634.8720000000001</v>
      </c>
      <c r="E159" s="3"/>
      <c r="F159" s="3"/>
      <c r="G159" s="3"/>
      <c r="H159" s="3"/>
      <c r="I159" s="3"/>
      <c r="J159" s="3"/>
      <c r="K159" s="3">
        <v>636.58</v>
      </c>
      <c r="L159" s="3">
        <v>519.8</v>
      </c>
      <c r="M159" s="3">
        <v>681.735</v>
      </c>
      <c r="N159" s="3">
        <v>1763.9007</v>
      </c>
      <c r="O159" s="3"/>
      <c r="P159" s="3">
        <v>1166.948</v>
      </c>
      <c r="Q159" s="3">
        <v>3223.169</v>
      </c>
      <c r="R159" s="3">
        <v>3232.325</v>
      </c>
      <c r="S159" s="3">
        <v>587.2349999999999</v>
      </c>
      <c r="T159" s="3">
        <v>572.0849999999999</v>
      </c>
      <c r="U159" s="3">
        <v>141.12</v>
      </c>
      <c r="V159" s="3">
        <v>9.029999999999999</v>
      </c>
      <c r="W159" s="3"/>
      <c r="X159" s="3"/>
      <c r="Y159" s="3">
        <v>1736.1437532435</v>
      </c>
      <c r="Z159" s="3">
        <f>SUM(C159:X159)</f>
        <v>0</v>
      </c>
    </row>
    <row r="160" spans="1:26">
      <c r="A160" s="1" t="s">
        <v>106</v>
      </c>
      <c r="B160" s="2" t="s">
        <v>26</v>
      </c>
      <c r="C160" s="2">
        <v>301652</v>
      </c>
      <c r="D160" s="2"/>
      <c r="E160" s="2"/>
      <c r="F160" s="2"/>
      <c r="G160" s="2"/>
      <c r="H160" s="2"/>
      <c r="I160" s="2"/>
      <c r="J160" s="2"/>
      <c r="K160" s="2">
        <v>3136</v>
      </c>
      <c r="L160" s="2">
        <v>1898</v>
      </c>
      <c r="M160" s="2">
        <v>18216</v>
      </c>
      <c r="N160" s="2">
        <v>41793</v>
      </c>
      <c r="O160" s="2"/>
      <c r="P160" s="2">
        <v>14070</v>
      </c>
      <c r="Q160" s="2">
        <v>9917</v>
      </c>
      <c r="R160" s="2">
        <v>4690</v>
      </c>
      <c r="S160" s="2">
        <v>9100</v>
      </c>
      <c r="T160" s="2">
        <v>8662</v>
      </c>
      <c r="U160" s="2"/>
      <c r="V160" s="2"/>
      <c r="W160" s="2"/>
      <c r="X160" s="2"/>
      <c r="Y160" s="2">
        <v>138949</v>
      </c>
      <c r="Z160" s="2">
        <f>SUM(C160:X160)</f>
        <v>0</v>
      </c>
    </row>
    <row r="161" spans="1:26">
      <c r="A161" s="1"/>
      <c r="B161" s="3" t="s">
        <v>27</v>
      </c>
      <c r="C161" s="3">
        <v>30306.51902943034</v>
      </c>
      <c r="D161" s="3"/>
      <c r="E161" s="3"/>
      <c r="F161" s="3"/>
      <c r="G161" s="3"/>
      <c r="H161" s="3"/>
      <c r="I161" s="3"/>
      <c r="J161" s="3"/>
      <c r="K161" s="3">
        <v>439.0400000000001</v>
      </c>
      <c r="L161" s="3">
        <v>379.6</v>
      </c>
      <c r="M161" s="3">
        <v>2492.99875</v>
      </c>
      <c r="N161" s="3">
        <v>3463.2831</v>
      </c>
      <c r="O161" s="3"/>
      <c r="P161" s="3">
        <v>1874.792</v>
      </c>
      <c r="Q161" s="3">
        <v>1297.967</v>
      </c>
      <c r="R161" s="3">
        <v>880.674</v>
      </c>
      <c r="S161" s="3">
        <v>1248.5</v>
      </c>
      <c r="T161" s="3">
        <v>1339.39</v>
      </c>
      <c r="U161" s="3"/>
      <c r="V161" s="3"/>
      <c r="W161" s="3"/>
      <c r="X161" s="3"/>
      <c r="Y161" s="3">
        <v>10821.332</v>
      </c>
      <c r="Z161" s="3">
        <f>SUM(C161:X161)</f>
        <v>0</v>
      </c>
    </row>
    <row r="162" spans="1:26">
      <c r="A162" s="1" t="s">
        <v>107</v>
      </c>
      <c r="B162" s="2" t="s">
        <v>26</v>
      </c>
      <c r="C162" s="2">
        <v>350306</v>
      </c>
      <c r="D162" s="2">
        <v>1100</v>
      </c>
      <c r="E162" s="2">
        <v>4300</v>
      </c>
      <c r="F162" s="2"/>
      <c r="G162" s="2"/>
      <c r="H162" s="2"/>
      <c r="I162" s="2"/>
      <c r="J162" s="2"/>
      <c r="K162" s="2">
        <v>263</v>
      </c>
      <c r="L162" s="2"/>
      <c r="M162" s="2">
        <v>26058</v>
      </c>
      <c r="N162" s="2">
        <v>50366</v>
      </c>
      <c r="O162" s="2"/>
      <c r="P162" s="2">
        <v>15984</v>
      </c>
      <c r="Q162" s="2">
        <v>13782</v>
      </c>
      <c r="R162" s="2">
        <v>9242</v>
      </c>
      <c r="S162" s="2">
        <v>16315</v>
      </c>
      <c r="T162" s="2">
        <v>6315</v>
      </c>
      <c r="U162" s="2">
        <v>6303</v>
      </c>
      <c r="V162" s="2"/>
      <c r="W162" s="2"/>
      <c r="X162" s="2"/>
      <c r="Y162" s="2">
        <v>19063</v>
      </c>
      <c r="Z162" s="2">
        <f>SUM(C162:X162)</f>
        <v>0</v>
      </c>
    </row>
    <row r="163" spans="1:26">
      <c r="A163" s="1"/>
      <c r="B163" s="3" t="s">
        <v>27</v>
      </c>
      <c r="C163" s="3">
        <v>35444.23434685127</v>
      </c>
      <c r="D163" s="3">
        <v>253</v>
      </c>
      <c r="E163" s="3">
        <v>1903.1</v>
      </c>
      <c r="F163" s="3"/>
      <c r="G163" s="3"/>
      <c r="H163" s="3"/>
      <c r="I163" s="3"/>
      <c r="J163" s="3"/>
      <c r="K163" s="3">
        <v>36.82</v>
      </c>
      <c r="L163" s="3"/>
      <c r="M163" s="3">
        <v>3625.450000000001</v>
      </c>
      <c r="N163" s="3">
        <v>4814.02115</v>
      </c>
      <c r="O163" s="3"/>
      <c r="P163" s="3">
        <v>2093.904</v>
      </c>
      <c r="Q163" s="3">
        <v>2268.167</v>
      </c>
      <c r="R163" s="3">
        <v>1983.633</v>
      </c>
      <c r="S163" s="3">
        <v>1572.625</v>
      </c>
      <c r="T163" s="3">
        <v>966.175</v>
      </c>
      <c r="U163" s="3">
        <v>751.3262000000001</v>
      </c>
      <c r="V163" s="3"/>
      <c r="W163" s="3"/>
      <c r="X163" s="3"/>
      <c r="Y163" s="3">
        <v>1740.91</v>
      </c>
      <c r="Z163" s="3">
        <f>SUM(C163:X163)</f>
        <v>0</v>
      </c>
    </row>
    <row r="164" spans="1:26">
      <c r="A164" s="1" t="s">
        <v>108</v>
      </c>
      <c r="B164" s="2" t="s">
        <v>26</v>
      </c>
      <c r="C164" s="2">
        <v>300423</v>
      </c>
      <c r="D164" s="2">
        <v>15573</v>
      </c>
      <c r="E164" s="2">
        <v>6134</v>
      </c>
      <c r="F164" s="2"/>
      <c r="G164" s="2"/>
      <c r="H164" s="2"/>
      <c r="I164" s="2"/>
      <c r="J164" s="2"/>
      <c r="K164" s="2"/>
      <c r="L164" s="2">
        <v>262</v>
      </c>
      <c r="M164" s="2">
        <v>29996</v>
      </c>
      <c r="N164" s="2">
        <v>68567</v>
      </c>
      <c r="O164" s="2"/>
      <c r="P164" s="2">
        <v>9677</v>
      </c>
      <c r="Q164" s="2">
        <v>3505</v>
      </c>
      <c r="R164" s="2">
        <v>4872</v>
      </c>
      <c r="S164" s="2">
        <v>14669</v>
      </c>
      <c r="T164" s="2">
        <v>8315</v>
      </c>
      <c r="U164" s="2">
        <v>9791</v>
      </c>
      <c r="V164" s="2"/>
      <c r="W164" s="2"/>
      <c r="X164" s="2"/>
      <c r="Y164" s="2">
        <v>52745</v>
      </c>
      <c r="Z164" s="2">
        <f>SUM(C164:X164)</f>
        <v>0</v>
      </c>
    </row>
    <row r="165" spans="1:26">
      <c r="A165" s="1"/>
      <c r="B165" s="3" t="s">
        <v>27</v>
      </c>
      <c r="C165" s="3">
        <v>31232.54399999996</v>
      </c>
      <c r="D165" s="3">
        <v>2647.68</v>
      </c>
      <c r="E165" s="3">
        <v>2790.9554</v>
      </c>
      <c r="F165" s="3"/>
      <c r="G165" s="3"/>
      <c r="H165" s="3"/>
      <c r="I165" s="3"/>
      <c r="J165" s="3"/>
      <c r="K165" s="3"/>
      <c r="L165" s="3">
        <v>52.40000000000001</v>
      </c>
      <c r="M165" s="3">
        <v>4156.395</v>
      </c>
      <c r="N165" s="3">
        <v>4649.513299999999</v>
      </c>
      <c r="O165" s="3"/>
      <c r="P165" s="3">
        <v>1267.687</v>
      </c>
      <c r="Q165" s="3">
        <v>859.5020000000001</v>
      </c>
      <c r="R165" s="3">
        <v>1183.896</v>
      </c>
      <c r="S165" s="3">
        <v>1756.575</v>
      </c>
      <c r="T165" s="3">
        <v>1260.575</v>
      </c>
      <c r="U165" s="3">
        <v>1150.7264</v>
      </c>
      <c r="V165" s="3"/>
      <c r="W165" s="3"/>
      <c r="X165" s="3"/>
      <c r="Y165" s="3">
        <v>2558.873500000002</v>
      </c>
      <c r="Z165" s="3">
        <f>SUM(C165:X165)</f>
        <v>0</v>
      </c>
    </row>
    <row r="166" spans="1:26">
      <c r="A166" s="1" t="s">
        <v>109</v>
      </c>
      <c r="B166" s="2" t="s">
        <v>26</v>
      </c>
      <c r="C166" s="2">
        <v>102306</v>
      </c>
      <c r="D166" s="2">
        <v>3514</v>
      </c>
      <c r="E166" s="2">
        <v>12004</v>
      </c>
      <c r="F166" s="2"/>
      <c r="G166" s="2"/>
      <c r="H166" s="2"/>
      <c r="I166" s="2"/>
      <c r="J166" s="2"/>
      <c r="K166" s="2"/>
      <c r="L166" s="2"/>
      <c r="M166" s="2">
        <v>51893</v>
      </c>
      <c r="N166" s="2">
        <v>123111</v>
      </c>
      <c r="O166" s="2"/>
      <c r="P166" s="2">
        <v>13693</v>
      </c>
      <c r="Q166" s="2">
        <v>21255</v>
      </c>
      <c r="R166" s="2">
        <v>9537</v>
      </c>
      <c r="S166" s="2">
        <v>16204</v>
      </c>
      <c r="T166" s="2">
        <v>9100</v>
      </c>
      <c r="U166" s="2">
        <v>16045</v>
      </c>
      <c r="V166" s="2">
        <v>1548</v>
      </c>
      <c r="W166" s="2"/>
      <c r="X166" s="2"/>
      <c r="Y166" s="2">
        <v>111411</v>
      </c>
      <c r="Z166" s="2">
        <f>SUM(C166:X166)</f>
        <v>0</v>
      </c>
    </row>
    <row r="167" spans="1:26">
      <c r="A167" s="1"/>
      <c r="B167" s="3" t="s">
        <v>27</v>
      </c>
      <c r="C167" s="3">
        <v>10528.5582</v>
      </c>
      <c r="D167" s="3">
        <v>647.1624999999999</v>
      </c>
      <c r="E167" s="3">
        <v>5505.571599999999</v>
      </c>
      <c r="F167" s="3"/>
      <c r="G167" s="3"/>
      <c r="H167" s="3"/>
      <c r="I167" s="3"/>
      <c r="J167" s="3"/>
      <c r="K167" s="3"/>
      <c r="L167" s="3"/>
      <c r="M167" s="3">
        <v>7274.668750000003</v>
      </c>
      <c r="N167" s="3">
        <v>8541.225299999998</v>
      </c>
      <c r="O167" s="3"/>
      <c r="P167" s="3">
        <v>1793.783</v>
      </c>
      <c r="Q167" s="3">
        <v>5494.851</v>
      </c>
      <c r="R167" s="3">
        <v>2115.27</v>
      </c>
      <c r="S167" s="3">
        <v>1817.42</v>
      </c>
      <c r="T167" s="3">
        <v>1392.91</v>
      </c>
      <c r="U167" s="3">
        <v>1872.248</v>
      </c>
      <c r="V167" s="3">
        <v>325.08</v>
      </c>
      <c r="W167" s="3"/>
      <c r="X167" s="3"/>
      <c r="Y167" s="3">
        <v>3899.485</v>
      </c>
      <c r="Z167" s="3">
        <f>SUM(C167:X167)</f>
        <v>0</v>
      </c>
    </row>
    <row r="168" spans="1:26">
      <c r="A168" s="1" t="s">
        <v>110</v>
      </c>
      <c r="B168" s="2" t="s">
        <v>26</v>
      </c>
      <c r="C168" s="2">
        <v>191394</v>
      </c>
      <c r="D168" s="2">
        <v>1250</v>
      </c>
      <c r="E168" s="2">
        <v>5248</v>
      </c>
      <c r="F168" s="2"/>
      <c r="G168" s="2"/>
      <c r="H168" s="2"/>
      <c r="I168" s="2"/>
      <c r="J168" s="2"/>
      <c r="K168" s="2">
        <v>2352</v>
      </c>
      <c r="L168" s="2"/>
      <c r="M168" s="2">
        <v>50618</v>
      </c>
      <c r="N168" s="2">
        <v>50719</v>
      </c>
      <c r="O168" s="2"/>
      <c r="P168" s="2">
        <v>6081</v>
      </c>
      <c r="Q168" s="2">
        <v>9273</v>
      </c>
      <c r="R168" s="2">
        <v>7212</v>
      </c>
      <c r="S168" s="2">
        <v>11372</v>
      </c>
      <c r="T168" s="2">
        <v>6037</v>
      </c>
      <c r="U168" s="2">
        <v>17341</v>
      </c>
      <c r="V168" s="2">
        <v>1328</v>
      </c>
      <c r="W168" s="2"/>
      <c r="X168" s="2"/>
      <c r="Y168" s="2">
        <v>79712</v>
      </c>
      <c r="Z168" s="2">
        <f>SUM(C168:X168)</f>
        <v>0</v>
      </c>
    </row>
    <row r="169" spans="1:26">
      <c r="A169" s="1"/>
      <c r="B169" s="3" t="s">
        <v>27</v>
      </c>
      <c r="C169" s="3">
        <v>19061.366872</v>
      </c>
      <c r="D169" s="3">
        <v>214.44</v>
      </c>
      <c r="E169" s="3">
        <v>2361.5986</v>
      </c>
      <c r="F169" s="3"/>
      <c r="G169" s="3"/>
      <c r="H169" s="3"/>
      <c r="I169" s="3"/>
      <c r="J169" s="3"/>
      <c r="K169" s="3">
        <v>329.28</v>
      </c>
      <c r="L169" s="3"/>
      <c r="M169" s="3">
        <v>7081.405000000002</v>
      </c>
      <c r="N169" s="3">
        <v>3928.5375</v>
      </c>
      <c r="O169" s="3"/>
      <c r="P169" s="3">
        <v>796.6110000000001</v>
      </c>
      <c r="Q169" s="3">
        <v>2224.933999999999</v>
      </c>
      <c r="R169" s="3">
        <v>1461.1926</v>
      </c>
      <c r="S169" s="3">
        <v>1295.16</v>
      </c>
      <c r="T169" s="3">
        <v>937.965</v>
      </c>
      <c r="U169" s="3">
        <v>2108.3642</v>
      </c>
      <c r="V169" s="3">
        <v>294.5947</v>
      </c>
      <c r="W169" s="3"/>
      <c r="X169" s="3"/>
      <c r="Y169" s="3">
        <v>3929.149999999999</v>
      </c>
      <c r="Z169" s="3">
        <f>SUM(C169:X169)</f>
        <v>0</v>
      </c>
    </row>
    <row r="170" spans="1:26">
      <c r="A170" s="1" t="s">
        <v>111</v>
      </c>
      <c r="B170" s="2" t="s">
        <v>26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>
        <f>SUM(C170:X170)</f>
        <v>0</v>
      </c>
    </row>
    <row r="171" spans="1:26">
      <c r="A171" s="1"/>
      <c r="B171" s="3" t="s">
        <v>27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f>SUM(C171:X171)</f>
        <v>0</v>
      </c>
    </row>
    <row r="172" spans="1:26">
      <c r="A172" s="1" t="s">
        <v>112</v>
      </c>
      <c r="B172" s="2" t="s">
        <v>26</v>
      </c>
      <c r="C172" s="2">
        <v>226408</v>
      </c>
      <c r="D172" s="2">
        <v>8038</v>
      </c>
      <c r="E172" s="2">
        <v>5393</v>
      </c>
      <c r="F172" s="2"/>
      <c r="G172" s="2"/>
      <c r="H172" s="2"/>
      <c r="I172" s="2"/>
      <c r="J172" s="2"/>
      <c r="K172" s="2"/>
      <c r="L172" s="2"/>
      <c r="M172" s="2">
        <v>50237</v>
      </c>
      <c r="N172" s="2">
        <v>71269</v>
      </c>
      <c r="O172" s="2"/>
      <c r="P172" s="2">
        <v>3770</v>
      </c>
      <c r="Q172" s="2">
        <v>21305</v>
      </c>
      <c r="R172" s="2">
        <v>7674</v>
      </c>
      <c r="S172" s="2">
        <v>2920</v>
      </c>
      <c r="T172" s="2">
        <v>6254</v>
      </c>
      <c r="U172" s="2">
        <v>8559</v>
      </c>
      <c r="V172" s="2">
        <v>1873</v>
      </c>
      <c r="W172" s="2"/>
      <c r="X172" s="2"/>
      <c r="Y172" s="2">
        <v>43659</v>
      </c>
      <c r="Z172" s="2">
        <f>SUM(C172:X172)</f>
        <v>0</v>
      </c>
    </row>
    <row r="173" spans="1:26">
      <c r="A173" s="1"/>
      <c r="B173" s="3" t="s">
        <v>27</v>
      </c>
      <c r="C173" s="3">
        <v>23361.383074</v>
      </c>
      <c r="D173" s="3">
        <v>1333.8</v>
      </c>
      <c r="E173" s="3">
        <v>2613.154</v>
      </c>
      <c r="F173" s="3"/>
      <c r="G173" s="3"/>
      <c r="H173" s="3"/>
      <c r="I173" s="3"/>
      <c r="J173" s="3"/>
      <c r="K173" s="3"/>
      <c r="L173" s="3"/>
      <c r="M173" s="3">
        <v>7137.555000000004</v>
      </c>
      <c r="N173" s="3">
        <v>7788.941900000001</v>
      </c>
      <c r="O173" s="3"/>
      <c r="P173" s="3">
        <v>490.1</v>
      </c>
      <c r="Q173" s="3">
        <v>4498.777999999999</v>
      </c>
      <c r="R173" s="3">
        <v>1578.7121</v>
      </c>
      <c r="S173" s="3">
        <v>405.12</v>
      </c>
      <c r="T173" s="3">
        <v>954.53</v>
      </c>
      <c r="U173" s="3">
        <v>1142.8346</v>
      </c>
      <c r="V173" s="3">
        <v>393.33</v>
      </c>
      <c r="W173" s="3"/>
      <c r="X173" s="3"/>
      <c r="Y173" s="3">
        <v>2143.152</v>
      </c>
      <c r="Z173" s="3">
        <f>SUM(C173:X173)</f>
        <v>0</v>
      </c>
    </row>
    <row r="174" spans="1:26">
      <c r="A174" s="1" t="s">
        <v>113</v>
      </c>
      <c r="B174" s="2" t="s">
        <v>26</v>
      </c>
      <c r="C174" s="2">
        <v>260885</v>
      </c>
      <c r="D174" s="2">
        <v>49143</v>
      </c>
      <c r="E174" s="2">
        <v>1741</v>
      </c>
      <c r="F174" s="2"/>
      <c r="G174" s="2"/>
      <c r="H174" s="2"/>
      <c r="I174" s="2"/>
      <c r="J174" s="2"/>
      <c r="K174" s="2"/>
      <c r="L174" s="2"/>
      <c r="M174" s="2">
        <v>18627</v>
      </c>
      <c r="N174" s="2">
        <v>39163</v>
      </c>
      <c r="O174" s="2"/>
      <c r="P174" s="2">
        <v>2200</v>
      </c>
      <c r="Q174" s="2">
        <v>6851</v>
      </c>
      <c r="R174" s="2">
        <v>8149</v>
      </c>
      <c r="S174" s="2">
        <v>6063</v>
      </c>
      <c r="T174" s="2">
        <v>7000</v>
      </c>
      <c r="U174" s="2">
        <v>28110</v>
      </c>
      <c r="V174" s="2">
        <v>340</v>
      </c>
      <c r="W174" s="2"/>
      <c r="X174" s="2"/>
      <c r="Y174" s="2">
        <v>17352</v>
      </c>
      <c r="Z174" s="2">
        <f>SUM(C174:X174)</f>
        <v>0</v>
      </c>
    </row>
    <row r="175" spans="1:26">
      <c r="A175" s="1"/>
      <c r="B175" s="3" t="s">
        <v>27</v>
      </c>
      <c r="C175" s="3">
        <v>25570.27495</v>
      </c>
      <c r="D175" s="3">
        <v>8320.484</v>
      </c>
      <c r="E175" s="3">
        <v>858.2</v>
      </c>
      <c r="F175" s="3"/>
      <c r="G175" s="3"/>
      <c r="H175" s="3"/>
      <c r="I175" s="3"/>
      <c r="J175" s="3"/>
      <c r="K175" s="3"/>
      <c r="L175" s="3"/>
      <c r="M175" s="3">
        <v>2757.015999999999</v>
      </c>
      <c r="N175" s="3">
        <v>3314.3654</v>
      </c>
      <c r="O175" s="3"/>
      <c r="P175" s="3">
        <v>286</v>
      </c>
      <c r="Q175" s="3">
        <v>1366.46</v>
      </c>
      <c r="R175" s="3">
        <v>2011.9835</v>
      </c>
      <c r="S175" s="3">
        <v>727.1949999999999</v>
      </c>
      <c r="T175" s="3">
        <v>1064.3</v>
      </c>
      <c r="U175" s="3">
        <v>3447.661</v>
      </c>
      <c r="V175" s="3">
        <v>71.39999999999999</v>
      </c>
      <c r="W175" s="3"/>
      <c r="X175" s="3"/>
      <c r="Y175" s="3">
        <v>1330.4685</v>
      </c>
      <c r="Z175" s="3">
        <f>SUM(C175:X175)</f>
        <v>0</v>
      </c>
    </row>
    <row r="176" spans="1:26">
      <c r="A176" s="1" t="s">
        <v>114</v>
      </c>
      <c r="B176" s="2" t="s">
        <v>26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>
        <f>SUM(C176:X176)</f>
        <v>0</v>
      </c>
    </row>
    <row r="177" spans="1:26">
      <c r="A177" s="1"/>
      <c r="B177" s="3" t="s">
        <v>27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f>SUM(C177:X177)</f>
        <v>0</v>
      </c>
    </row>
    <row r="178" spans="1:26">
      <c r="A178" s="1" t="s">
        <v>115</v>
      </c>
      <c r="B178" s="2" t="s">
        <v>26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>
        <f>SUM(C178:X178)</f>
        <v>0</v>
      </c>
    </row>
    <row r="179" spans="1:26">
      <c r="A179" s="1"/>
      <c r="B179" s="3" t="s">
        <v>27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f>SUM(C179:X179)</f>
        <v>0</v>
      </c>
    </row>
    <row r="180" spans="1:26">
      <c r="A180" s="1" t="s">
        <v>116</v>
      </c>
      <c r="B180" s="2" t="s">
        <v>26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>
        <f>SUM(C180:X180)</f>
        <v>0</v>
      </c>
    </row>
    <row r="181" spans="1:26">
      <c r="A181" s="1"/>
      <c r="B181" s="3" t="s">
        <v>27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f>SUM(C181:X181)</f>
        <v>0</v>
      </c>
    </row>
    <row r="182" spans="1:26">
      <c r="A182" s="1" t="s">
        <v>117</v>
      </c>
      <c r="B182" s="2" t="s">
        <v>26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>
        <f>SUM(C182:X182)</f>
        <v>0</v>
      </c>
    </row>
    <row r="183" spans="1:26">
      <c r="A183" s="1"/>
      <c r="B183" s="3" t="s">
        <v>27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f>SUM(C183:X183)</f>
        <v>0</v>
      </c>
    </row>
    <row r="184" spans="1:26">
      <c r="A184" s="1" t="s">
        <v>118</v>
      </c>
      <c r="B184" s="2" t="s">
        <v>26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>
        <f>SUM(C184:X184)</f>
        <v>0</v>
      </c>
    </row>
    <row r="185" spans="1:26">
      <c r="A185" s="1"/>
      <c r="B185" s="3" t="s">
        <v>27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f>SUM(C185:X185)</f>
        <v>0</v>
      </c>
    </row>
    <row r="186" spans="1:26">
      <c r="A186" s="1" t="s">
        <v>119</v>
      </c>
      <c r="B186" s="2" t="s">
        <v>26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>
        <f>SUM(C186:X186)</f>
        <v>0</v>
      </c>
    </row>
    <row r="187" spans="1:26">
      <c r="A187" s="1"/>
      <c r="B187" s="3" t="s">
        <v>27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f>SUM(C187:X187)</f>
        <v>0</v>
      </c>
    </row>
    <row r="188" spans="1:26">
      <c r="A188" s="1" t="s">
        <v>120</v>
      </c>
      <c r="B188" s="2" t="s">
        <v>26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>
        <f>SUM(C188:X188)</f>
        <v>0</v>
      </c>
    </row>
    <row r="189" spans="1:26">
      <c r="A189" s="1"/>
      <c r="B189" s="3" t="s">
        <v>27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f>SUM(C189:X189)</f>
        <v>0</v>
      </c>
    </row>
    <row r="190" spans="1:26">
      <c r="A190" s="1" t="s">
        <v>121</v>
      </c>
      <c r="B190" s="2" t="s">
        <v>26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>
        <f>SUM(C190:X190)</f>
        <v>0</v>
      </c>
    </row>
    <row r="191" spans="1:26">
      <c r="A191" s="1"/>
      <c r="B191" s="3" t="s">
        <v>27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f>SUM(C191:X191)</f>
        <v>0</v>
      </c>
    </row>
    <row r="192" spans="1:26">
      <c r="A192" s="1" t="s">
        <v>122</v>
      </c>
      <c r="B192" s="2" t="s">
        <v>26</v>
      </c>
      <c r="C192" s="2">
        <v>202489</v>
      </c>
      <c r="D192" s="2">
        <v>37562</v>
      </c>
      <c r="E192" s="2">
        <v>4826</v>
      </c>
      <c r="F192" s="2"/>
      <c r="G192" s="2"/>
      <c r="H192" s="2"/>
      <c r="I192" s="2"/>
      <c r="J192" s="2"/>
      <c r="K192" s="2"/>
      <c r="L192" s="2"/>
      <c r="M192" s="2">
        <v>40574</v>
      </c>
      <c r="N192" s="2">
        <v>51250</v>
      </c>
      <c r="O192" s="2"/>
      <c r="P192" s="2">
        <v>512</v>
      </c>
      <c r="Q192" s="2">
        <v>5323</v>
      </c>
      <c r="R192" s="2">
        <v>6402</v>
      </c>
      <c r="S192" s="2">
        <v>9362</v>
      </c>
      <c r="T192" s="2"/>
      <c r="U192" s="2">
        <v>20029</v>
      </c>
      <c r="V192" s="2">
        <v>385</v>
      </c>
      <c r="W192" s="2"/>
      <c r="X192" s="2"/>
      <c r="Y192" s="2">
        <v>8230</v>
      </c>
      <c r="Z192" s="2">
        <f>SUM(C192:X192)</f>
        <v>0</v>
      </c>
    </row>
    <row r="193" spans="1:26">
      <c r="A193" s="1"/>
      <c r="B193" s="3" t="s">
        <v>27</v>
      </c>
      <c r="C193" s="3">
        <v>20178.27454999999</v>
      </c>
      <c r="D193" s="3">
        <v>6520.766</v>
      </c>
      <c r="E193" s="3">
        <v>2309.000399999999</v>
      </c>
      <c r="F193" s="3"/>
      <c r="G193" s="3"/>
      <c r="H193" s="3"/>
      <c r="I193" s="3"/>
      <c r="J193" s="3"/>
      <c r="K193" s="3"/>
      <c r="L193" s="3"/>
      <c r="M193" s="3">
        <v>5932.9525</v>
      </c>
      <c r="N193" s="3">
        <v>5183.7894</v>
      </c>
      <c r="O193" s="3"/>
      <c r="P193" s="3">
        <v>95.26000000000001</v>
      </c>
      <c r="Q193" s="3">
        <v>1506.584</v>
      </c>
      <c r="R193" s="3">
        <v>1555.686</v>
      </c>
      <c r="S193" s="3">
        <v>1244.75</v>
      </c>
      <c r="T193" s="3"/>
      <c r="U193" s="3">
        <v>2331.5866</v>
      </c>
      <c r="V193" s="3">
        <v>80.85000000000001</v>
      </c>
      <c r="W193" s="3"/>
      <c r="X193" s="3"/>
      <c r="Y193" s="3">
        <v>658.4</v>
      </c>
      <c r="Z193" s="3">
        <f>SUM(C193:X193)</f>
        <v>0</v>
      </c>
    </row>
    <row r="194" spans="1:26">
      <c r="A194" s="1" t="s">
        <v>123</v>
      </c>
      <c r="B194" s="2" t="s">
        <v>26</v>
      </c>
      <c r="C194" s="2">
        <v>261728</v>
      </c>
      <c r="D194" s="2">
        <v>40717</v>
      </c>
      <c r="E194" s="2">
        <v>2502</v>
      </c>
      <c r="F194" s="2"/>
      <c r="G194" s="2"/>
      <c r="H194" s="2"/>
      <c r="I194" s="2"/>
      <c r="J194" s="2"/>
      <c r="K194" s="2"/>
      <c r="L194" s="2"/>
      <c r="M194" s="2">
        <v>30061</v>
      </c>
      <c r="N194" s="2">
        <v>63072</v>
      </c>
      <c r="O194" s="2"/>
      <c r="P194" s="2">
        <v>1365</v>
      </c>
      <c r="Q194" s="2">
        <v>8506</v>
      </c>
      <c r="R194" s="2">
        <v>2384</v>
      </c>
      <c r="S194" s="2">
        <v>800</v>
      </c>
      <c r="T194" s="2">
        <v>800</v>
      </c>
      <c r="U194" s="2">
        <v>20911</v>
      </c>
      <c r="V194" s="2">
        <v>1411</v>
      </c>
      <c r="W194" s="2"/>
      <c r="X194" s="2"/>
      <c r="Y194" s="2">
        <v>16892</v>
      </c>
      <c r="Z194" s="2">
        <f>SUM(C194:X194)</f>
        <v>0</v>
      </c>
    </row>
    <row r="195" spans="1:26">
      <c r="A195" s="1"/>
      <c r="B195" s="3" t="s">
        <v>27</v>
      </c>
      <c r="C195" s="3">
        <v>25815.54043847731</v>
      </c>
      <c r="D195" s="3">
        <v>7231.05</v>
      </c>
      <c r="E195" s="3">
        <v>1429.624</v>
      </c>
      <c r="F195" s="3"/>
      <c r="G195" s="3"/>
      <c r="H195" s="3"/>
      <c r="I195" s="3"/>
      <c r="J195" s="3"/>
      <c r="K195" s="3"/>
      <c r="L195" s="3"/>
      <c r="M195" s="3">
        <v>5385.2655</v>
      </c>
      <c r="N195" s="3">
        <v>4586.24855</v>
      </c>
      <c r="O195" s="3"/>
      <c r="P195" s="3">
        <v>284.25</v>
      </c>
      <c r="Q195" s="3">
        <v>2231.986</v>
      </c>
      <c r="R195" s="3">
        <v>579.312</v>
      </c>
      <c r="S195" s="3">
        <v>117.6</v>
      </c>
      <c r="T195" s="3">
        <v>129.6</v>
      </c>
      <c r="U195" s="3">
        <v>2501.7552</v>
      </c>
      <c r="V195" s="3">
        <v>296.31</v>
      </c>
      <c r="W195" s="3"/>
      <c r="X195" s="3"/>
      <c r="Y195" s="3">
        <v>1180.035</v>
      </c>
      <c r="Z195" s="3">
        <f>SUM(C195:X195)</f>
        <v>0</v>
      </c>
    </row>
    <row r="196" spans="1:26">
      <c r="A196" s="1" t="s">
        <v>124</v>
      </c>
      <c r="B196" s="2" t="s">
        <v>26</v>
      </c>
      <c r="C196" s="2">
        <v>300889</v>
      </c>
      <c r="D196" s="2">
        <v>51113</v>
      </c>
      <c r="E196" s="2">
        <v>3915</v>
      </c>
      <c r="F196" s="2"/>
      <c r="G196" s="2"/>
      <c r="H196" s="2"/>
      <c r="I196" s="2"/>
      <c r="J196" s="2"/>
      <c r="K196" s="2"/>
      <c r="L196" s="2"/>
      <c r="M196" s="2">
        <v>7768</v>
      </c>
      <c r="N196" s="2">
        <v>50402</v>
      </c>
      <c r="O196" s="2"/>
      <c r="P196" s="2">
        <v>3882</v>
      </c>
      <c r="Q196" s="2">
        <v>1106</v>
      </c>
      <c r="R196" s="2">
        <v>2436</v>
      </c>
      <c r="S196" s="2">
        <v>1100</v>
      </c>
      <c r="T196" s="2">
        <v>700</v>
      </c>
      <c r="U196" s="2">
        <v>10195</v>
      </c>
      <c r="V196" s="2">
        <v>4234</v>
      </c>
      <c r="W196" s="2"/>
      <c r="X196" s="2"/>
      <c r="Y196" s="2">
        <v>9200</v>
      </c>
      <c r="Z196" s="2">
        <f>SUM(C196:X196)</f>
        <v>0</v>
      </c>
    </row>
    <row r="197" spans="1:26">
      <c r="A197" s="1"/>
      <c r="B197" s="3" t="s">
        <v>27</v>
      </c>
      <c r="C197" s="3">
        <v>30654.89435566585</v>
      </c>
      <c r="D197" s="3">
        <v>8676.358</v>
      </c>
      <c r="E197" s="3">
        <v>2072.9296</v>
      </c>
      <c r="F197" s="3"/>
      <c r="G197" s="3"/>
      <c r="H197" s="3"/>
      <c r="I197" s="3"/>
      <c r="J197" s="3"/>
      <c r="K197" s="3"/>
      <c r="L197" s="3"/>
      <c r="M197" s="3">
        <v>1754.0035</v>
      </c>
      <c r="N197" s="3">
        <v>4935.92</v>
      </c>
      <c r="O197" s="3"/>
      <c r="P197" s="3">
        <v>882.4000000000001</v>
      </c>
      <c r="Q197" s="3">
        <v>229.585</v>
      </c>
      <c r="R197" s="3">
        <v>584.4608000000001</v>
      </c>
      <c r="S197" s="3">
        <v>161.7</v>
      </c>
      <c r="T197" s="3">
        <v>105</v>
      </c>
      <c r="U197" s="3">
        <v>1227.478</v>
      </c>
      <c r="V197" s="3">
        <v>1122.4139</v>
      </c>
      <c r="W197" s="3"/>
      <c r="X197" s="3"/>
      <c r="Y197" s="3">
        <v>396.05</v>
      </c>
      <c r="Z197" s="3">
        <f>SUM(C197:X197)</f>
        <v>0</v>
      </c>
    </row>
    <row r="198" spans="1:26">
      <c r="A198" s="1" t="s">
        <v>125</v>
      </c>
      <c r="B198" s="2" t="s">
        <v>26</v>
      </c>
      <c r="C198" s="2">
        <v>254408</v>
      </c>
      <c r="D198" s="2">
        <v>15081</v>
      </c>
      <c r="E198" s="2">
        <v>7380</v>
      </c>
      <c r="F198" s="2"/>
      <c r="G198" s="2"/>
      <c r="H198" s="2"/>
      <c r="I198" s="2"/>
      <c r="J198" s="2"/>
      <c r="K198" s="2"/>
      <c r="L198" s="2"/>
      <c r="M198" s="2">
        <v>10327</v>
      </c>
      <c r="N198" s="2">
        <v>50612</v>
      </c>
      <c r="O198" s="2"/>
      <c r="P198" s="2">
        <v>1534</v>
      </c>
      <c r="Q198" s="2">
        <v>4564</v>
      </c>
      <c r="R198" s="2">
        <v>270</v>
      </c>
      <c r="S198" s="2">
        <v>1000</v>
      </c>
      <c r="T198" s="2">
        <v>7227</v>
      </c>
      <c r="U198" s="2">
        <v>26623</v>
      </c>
      <c r="V198" s="2">
        <v>5949</v>
      </c>
      <c r="W198" s="2"/>
      <c r="X198" s="2"/>
      <c r="Y198" s="2">
        <v>18408</v>
      </c>
      <c r="Z198" s="2">
        <f>SUM(C198:X198)</f>
        <v>0</v>
      </c>
    </row>
    <row r="199" spans="1:26">
      <c r="A199" s="1"/>
      <c r="B199" s="3" t="s">
        <v>27</v>
      </c>
      <c r="C199" s="3">
        <v>27007.11916760634</v>
      </c>
      <c r="D199" s="3">
        <v>2881.225</v>
      </c>
      <c r="E199" s="3">
        <v>3734.7344</v>
      </c>
      <c r="F199" s="3"/>
      <c r="G199" s="3"/>
      <c r="H199" s="3"/>
      <c r="I199" s="3"/>
      <c r="J199" s="3"/>
      <c r="K199" s="3"/>
      <c r="L199" s="3"/>
      <c r="M199" s="3">
        <v>1873.6954</v>
      </c>
      <c r="N199" s="3">
        <v>5860.041999999999</v>
      </c>
      <c r="O199" s="3"/>
      <c r="P199" s="3">
        <v>516.6</v>
      </c>
      <c r="Q199" s="3">
        <v>1101.38</v>
      </c>
      <c r="R199" s="3">
        <v>65.60999999999999</v>
      </c>
      <c r="S199" s="3">
        <v>147</v>
      </c>
      <c r="T199" s="3">
        <v>1047.915</v>
      </c>
      <c r="U199" s="3">
        <v>3178.4092</v>
      </c>
      <c r="V199" s="3">
        <v>1578.4884</v>
      </c>
      <c r="W199" s="3"/>
      <c r="X199" s="3"/>
      <c r="Y199" s="3">
        <v>1429.3565</v>
      </c>
      <c r="Z199" s="3">
        <f>SUM(C199:X199)</f>
        <v>0</v>
      </c>
    </row>
    <row r="200" spans="1:26">
      <c r="A200" s="1" t="s">
        <v>126</v>
      </c>
      <c r="B200" s="2" t="s">
        <v>26</v>
      </c>
      <c r="C200" s="2">
        <v>228205</v>
      </c>
      <c r="D200" s="2">
        <v>19684</v>
      </c>
      <c r="E200" s="2">
        <v>7178</v>
      </c>
      <c r="F200" s="2"/>
      <c r="G200" s="2"/>
      <c r="H200" s="2"/>
      <c r="I200" s="2"/>
      <c r="J200" s="2"/>
      <c r="K200" s="2"/>
      <c r="L200" s="2"/>
      <c r="M200" s="2">
        <v>40110</v>
      </c>
      <c r="N200" s="2">
        <v>40618</v>
      </c>
      <c r="O200" s="2"/>
      <c r="P200" s="2">
        <v>1617</v>
      </c>
      <c r="Q200" s="2">
        <v>20815</v>
      </c>
      <c r="R200" s="2">
        <v>845</v>
      </c>
      <c r="S200" s="2">
        <v>2230</v>
      </c>
      <c r="T200" s="2">
        <v>2347</v>
      </c>
      <c r="U200" s="2">
        <v>28810</v>
      </c>
      <c r="V200" s="2">
        <v>6132</v>
      </c>
      <c r="W200" s="2"/>
      <c r="X200" s="2"/>
      <c r="Y200" s="2">
        <v>35730</v>
      </c>
      <c r="Z200" s="2">
        <f>SUM(C200:X200)</f>
        <v>0</v>
      </c>
    </row>
    <row r="201" spans="1:26">
      <c r="A201" s="1"/>
      <c r="B201" s="3" t="s">
        <v>27</v>
      </c>
      <c r="C201" s="3">
        <v>24773.81872960264</v>
      </c>
      <c r="D201" s="3">
        <v>4198.482199999999</v>
      </c>
      <c r="E201" s="3">
        <v>3672.529099999999</v>
      </c>
      <c r="F201" s="3"/>
      <c r="G201" s="3"/>
      <c r="H201" s="3"/>
      <c r="I201" s="3"/>
      <c r="J201" s="3"/>
      <c r="K201" s="3"/>
      <c r="L201" s="3"/>
      <c r="M201" s="3">
        <v>5675.367499999999</v>
      </c>
      <c r="N201" s="3">
        <v>3652.79</v>
      </c>
      <c r="O201" s="3"/>
      <c r="P201" s="3">
        <v>592.275</v>
      </c>
      <c r="Q201" s="3">
        <v>1850.5409</v>
      </c>
      <c r="R201" s="3">
        <v>205.335</v>
      </c>
      <c r="S201" s="3">
        <v>318.27</v>
      </c>
      <c r="T201" s="3">
        <v>411.4</v>
      </c>
      <c r="U201" s="3">
        <v>3406.864</v>
      </c>
      <c r="V201" s="3">
        <v>1368.6036</v>
      </c>
      <c r="W201" s="3"/>
      <c r="X201" s="3"/>
      <c r="Y201" s="3">
        <v>906.9</v>
      </c>
      <c r="Z201" s="3">
        <f>SUM(C201:X201)</f>
        <v>0</v>
      </c>
    </row>
    <row r="202" spans="1:26">
      <c r="A202" s="1" t="s">
        <v>127</v>
      </c>
      <c r="B202" s="2" t="s">
        <v>26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>
        <f>SUM(C202:X202)</f>
        <v>0</v>
      </c>
    </row>
    <row r="203" spans="1:26">
      <c r="A203" s="1"/>
      <c r="B203" s="3" t="s">
        <v>27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f>SUM(C203:X203)</f>
        <v>0</v>
      </c>
    </row>
    <row r="204" spans="1:26">
      <c r="A204" s="1" t="s">
        <v>128</v>
      </c>
      <c r="B204" s="2" t="s">
        <v>26</v>
      </c>
      <c r="C204" s="2">
        <v>201192</v>
      </c>
      <c r="D204" s="2">
        <v>8755</v>
      </c>
      <c r="E204" s="2">
        <v>2109</v>
      </c>
      <c r="F204" s="2"/>
      <c r="G204" s="2"/>
      <c r="H204" s="2"/>
      <c r="I204" s="2"/>
      <c r="J204" s="2"/>
      <c r="K204" s="2"/>
      <c r="L204" s="2">
        <v>4056</v>
      </c>
      <c r="M204" s="2">
        <v>40188</v>
      </c>
      <c r="N204" s="2">
        <v>40032</v>
      </c>
      <c r="O204" s="2"/>
      <c r="P204" s="2">
        <v>667</v>
      </c>
      <c r="Q204" s="2">
        <v>30678</v>
      </c>
      <c r="R204" s="2">
        <v>770</v>
      </c>
      <c r="S204" s="2">
        <v>540</v>
      </c>
      <c r="T204" s="2">
        <v>43</v>
      </c>
      <c r="U204" s="2">
        <v>39814</v>
      </c>
      <c r="V204" s="2">
        <v>3963</v>
      </c>
      <c r="W204" s="2"/>
      <c r="X204" s="2"/>
      <c r="Y204" s="2">
        <v>5770</v>
      </c>
      <c r="Z204" s="2">
        <f>SUM(C204:X204)</f>
        <v>0</v>
      </c>
    </row>
    <row r="205" spans="1:26">
      <c r="A205" s="1"/>
      <c r="B205" s="3" t="s">
        <v>27</v>
      </c>
      <c r="C205" s="3">
        <v>21609.21029999999</v>
      </c>
      <c r="D205" s="3">
        <v>2154.3923</v>
      </c>
      <c r="E205" s="3">
        <v>975.97</v>
      </c>
      <c r="F205" s="3"/>
      <c r="G205" s="3"/>
      <c r="H205" s="3"/>
      <c r="I205" s="3"/>
      <c r="J205" s="3"/>
      <c r="K205" s="3"/>
      <c r="L205" s="3">
        <v>811.2</v>
      </c>
      <c r="M205" s="3">
        <v>6282.059500000002</v>
      </c>
      <c r="N205" s="3">
        <v>2653.969</v>
      </c>
      <c r="O205" s="3"/>
      <c r="P205" s="3">
        <v>179.65</v>
      </c>
      <c r="Q205" s="3">
        <v>2678.046</v>
      </c>
      <c r="R205" s="3">
        <v>187.11</v>
      </c>
      <c r="S205" s="3">
        <v>70.74000000000001</v>
      </c>
      <c r="T205" s="3">
        <v>10.75</v>
      </c>
      <c r="U205" s="3">
        <v>4799.324</v>
      </c>
      <c r="V205" s="3">
        <v>832.2299999999999</v>
      </c>
      <c r="W205" s="3"/>
      <c r="X205" s="3"/>
      <c r="Y205" s="3">
        <v>363.51</v>
      </c>
      <c r="Z205" s="3">
        <f>SUM(C205:X205)</f>
        <v>0</v>
      </c>
    </row>
    <row r="206" spans="1:26">
      <c r="A206" s="1" t="s">
        <v>129</v>
      </c>
      <c r="B206" s="2" t="s">
        <v>26</v>
      </c>
      <c r="C206" s="2">
        <v>178936</v>
      </c>
      <c r="D206" s="2">
        <v>8981</v>
      </c>
      <c r="E206" s="2">
        <v>4715</v>
      </c>
      <c r="F206" s="2"/>
      <c r="G206" s="2"/>
      <c r="H206" s="2"/>
      <c r="I206" s="2"/>
      <c r="J206" s="2"/>
      <c r="K206" s="2"/>
      <c r="L206" s="2">
        <v>4806</v>
      </c>
      <c r="M206" s="2">
        <v>20144</v>
      </c>
      <c r="N206" s="2">
        <v>60386</v>
      </c>
      <c r="O206" s="2"/>
      <c r="P206" s="2">
        <v>6427</v>
      </c>
      <c r="Q206" s="2">
        <v>20098</v>
      </c>
      <c r="R206" s="2">
        <v>825</v>
      </c>
      <c r="S206" s="2">
        <v>10790</v>
      </c>
      <c r="T206" s="2">
        <v>4256</v>
      </c>
      <c r="U206" s="2">
        <v>38382</v>
      </c>
      <c r="V206" s="2">
        <v>6290</v>
      </c>
      <c r="W206" s="2"/>
      <c r="X206" s="2"/>
      <c r="Y206" s="2">
        <v>16239</v>
      </c>
      <c r="Z206" s="2">
        <f>SUM(C206:X206)</f>
        <v>0</v>
      </c>
    </row>
    <row r="207" spans="1:26">
      <c r="A207" s="1"/>
      <c r="B207" s="3" t="s">
        <v>27</v>
      </c>
      <c r="C207" s="3">
        <v>19446.1544</v>
      </c>
      <c r="D207" s="3">
        <v>2393.729700000001</v>
      </c>
      <c r="E207" s="3">
        <v>2616.292099999999</v>
      </c>
      <c r="F207" s="3"/>
      <c r="G207" s="3"/>
      <c r="H207" s="3"/>
      <c r="I207" s="3"/>
      <c r="J207" s="3"/>
      <c r="K207" s="3"/>
      <c r="L207" s="3">
        <v>961.2</v>
      </c>
      <c r="M207" s="3">
        <v>3412.536</v>
      </c>
      <c r="N207" s="3">
        <v>3522.985</v>
      </c>
      <c r="O207" s="3"/>
      <c r="P207" s="3">
        <v>1098.94</v>
      </c>
      <c r="Q207" s="3">
        <v>1489.399</v>
      </c>
      <c r="R207" s="3">
        <v>200.475</v>
      </c>
      <c r="S207" s="3">
        <v>1510.6</v>
      </c>
      <c r="T207" s="3">
        <v>586.3535999999999</v>
      </c>
      <c r="U207" s="3">
        <v>4600.212799999999</v>
      </c>
      <c r="V207" s="3">
        <v>1481.16</v>
      </c>
      <c r="W207" s="3"/>
      <c r="X207" s="3"/>
      <c r="Y207" s="3">
        <v>789.3019999999999</v>
      </c>
      <c r="Z207" s="3">
        <f>SUM(C207:X207)</f>
        <v>0</v>
      </c>
    </row>
    <row r="208" spans="1:26">
      <c r="A208" s="1" t="s">
        <v>130</v>
      </c>
      <c r="B208" s="2" t="s">
        <v>26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>
        <f>SUM(C208:X208)</f>
        <v>0</v>
      </c>
    </row>
    <row r="209" spans="1:26">
      <c r="A209" s="1"/>
      <c r="B209" s="3" t="s">
        <v>27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f>SUM(C209:X209)</f>
        <v>0</v>
      </c>
    </row>
    <row r="210" spans="1:26">
      <c r="A210" s="1" t="s">
        <v>131</v>
      </c>
      <c r="B210" s="2" t="s">
        <v>26</v>
      </c>
      <c r="C210" s="2">
        <v>237207</v>
      </c>
      <c r="D210" s="2">
        <v>8997</v>
      </c>
      <c r="E210" s="2">
        <v>6591</v>
      </c>
      <c r="F210" s="2"/>
      <c r="G210" s="2"/>
      <c r="H210" s="2"/>
      <c r="I210" s="2"/>
      <c r="J210" s="2"/>
      <c r="K210" s="2"/>
      <c r="L210" s="2">
        <v>1339</v>
      </c>
      <c r="M210" s="2">
        <v>40750</v>
      </c>
      <c r="N210" s="2">
        <v>60227</v>
      </c>
      <c r="O210" s="2"/>
      <c r="P210" s="2">
        <v>193</v>
      </c>
      <c r="Q210" s="2">
        <v>20134</v>
      </c>
      <c r="R210" s="2">
        <v>301</v>
      </c>
      <c r="S210" s="2"/>
      <c r="T210" s="2">
        <v>8400</v>
      </c>
      <c r="U210" s="2">
        <v>20753</v>
      </c>
      <c r="V210" s="2">
        <v>6438</v>
      </c>
      <c r="W210" s="2"/>
      <c r="X210" s="2"/>
      <c r="Y210" s="2">
        <v>79876</v>
      </c>
      <c r="Z210" s="2">
        <f>SUM(C210:X210)</f>
        <v>0</v>
      </c>
    </row>
    <row r="211" spans="1:26">
      <c r="A211" s="1"/>
      <c r="B211" s="3" t="s">
        <v>27</v>
      </c>
      <c r="C211" s="3">
        <v>24729.70320000001</v>
      </c>
      <c r="D211" s="3">
        <v>1456.869</v>
      </c>
      <c r="E211" s="3">
        <v>4851.179100000001</v>
      </c>
      <c r="F211" s="3"/>
      <c r="G211" s="3"/>
      <c r="H211" s="3"/>
      <c r="I211" s="3"/>
      <c r="J211" s="3"/>
      <c r="K211" s="3"/>
      <c r="L211" s="3">
        <v>267.8</v>
      </c>
      <c r="M211" s="3">
        <v>5653.102500000001</v>
      </c>
      <c r="N211" s="3">
        <v>2715.6465</v>
      </c>
      <c r="O211" s="3"/>
      <c r="P211" s="3">
        <v>42.46</v>
      </c>
      <c r="Q211" s="3">
        <v>1377.0638</v>
      </c>
      <c r="R211" s="3">
        <v>73.143</v>
      </c>
      <c r="S211" s="3"/>
      <c r="T211" s="3">
        <v>1202.62</v>
      </c>
      <c r="U211" s="3">
        <v>2490.7562</v>
      </c>
      <c r="V211" s="3">
        <v>1351.98</v>
      </c>
      <c r="W211" s="3"/>
      <c r="X211" s="3"/>
      <c r="Y211" s="3">
        <v>2673.288</v>
      </c>
      <c r="Z211" s="3">
        <f>SUM(C211:X211)</f>
        <v>0</v>
      </c>
    </row>
    <row r="212" spans="1:26">
      <c r="A212" s="1" t="s">
        <v>132</v>
      </c>
      <c r="B212" s="2" t="s">
        <v>26</v>
      </c>
      <c r="C212" s="2">
        <v>237088</v>
      </c>
      <c r="D212" s="2">
        <v>7475</v>
      </c>
      <c r="E212" s="2">
        <v>3143</v>
      </c>
      <c r="F212" s="2"/>
      <c r="G212" s="2"/>
      <c r="H212" s="2"/>
      <c r="I212" s="2"/>
      <c r="J212" s="2"/>
      <c r="K212" s="2"/>
      <c r="L212" s="2">
        <v>89</v>
      </c>
      <c r="M212" s="2">
        <v>40410</v>
      </c>
      <c r="N212" s="2">
        <v>51044</v>
      </c>
      <c r="O212" s="2"/>
      <c r="P212" s="2">
        <v>1141</v>
      </c>
      <c r="Q212" s="2">
        <v>4585</v>
      </c>
      <c r="R212" s="2">
        <v>2924</v>
      </c>
      <c r="S212" s="2">
        <v>8573</v>
      </c>
      <c r="T212" s="2">
        <v>10362</v>
      </c>
      <c r="U212" s="2">
        <v>18035</v>
      </c>
      <c r="V212" s="2">
        <v>2232</v>
      </c>
      <c r="W212" s="2"/>
      <c r="X212" s="2">
        <v>3000</v>
      </c>
      <c r="Y212" s="2">
        <v>138272</v>
      </c>
      <c r="Z212" s="2">
        <f>SUM(C212:X212)</f>
        <v>0</v>
      </c>
    </row>
    <row r="213" spans="1:26">
      <c r="A213" s="1"/>
      <c r="B213" s="3" t="s">
        <v>27</v>
      </c>
      <c r="C213" s="3">
        <v>24522.71304999998</v>
      </c>
      <c r="D213" s="3">
        <v>1396.025</v>
      </c>
      <c r="E213" s="3">
        <v>2020.4276</v>
      </c>
      <c r="F213" s="3"/>
      <c r="G213" s="3"/>
      <c r="H213" s="3"/>
      <c r="I213" s="3"/>
      <c r="J213" s="3"/>
      <c r="K213" s="3"/>
      <c r="L213" s="3">
        <v>17.8</v>
      </c>
      <c r="M213" s="3">
        <v>5645.7014</v>
      </c>
      <c r="N213" s="3">
        <v>2490.7375</v>
      </c>
      <c r="O213" s="3"/>
      <c r="P213" s="3">
        <v>124.786</v>
      </c>
      <c r="Q213" s="3">
        <v>365.6953</v>
      </c>
      <c r="R213" s="3">
        <v>710.532</v>
      </c>
      <c r="S213" s="3">
        <v>1200.22</v>
      </c>
      <c r="T213" s="3">
        <v>1783.432</v>
      </c>
      <c r="U213" s="3">
        <v>2199.311999999999</v>
      </c>
      <c r="V213" s="3">
        <v>485.12</v>
      </c>
      <c r="W213" s="3"/>
      <c r="X213" s="3">
        <v>1859</v>
      </c>
      <c r="Y213" s="3">
        <v>5876.848999999999</v>
      </c>
      <c r="Z213" s="3">
        <f>SUM(C213:X213)</f>
        <v>0</v>
      </c>
    </row>
    <row r="214" spans="1:26">
      <c r="A214" s="1" t="s">
        <v>133</v>
      </c>
      <c r="B214" s="2" t="s">
        <v>26</v>
      </c>
      <c r="C214" s="2">
        <v>200963</v>
      </c>
      <c r="D214" s="2">
        <v>39</v>
      </c>
      <c r="E214" s="2">
        <v>1754</v>
      </c>
      <c r="F214" s="2"/>
      <c r="G214" s="2"/>
      <c r="H214" s="2"/>
      <c r="I214" s="2"/>
      <c r="J214" s="2"/>
      <c r="K214" s="2"/>
      <c r="L214" s="2"/>
      <c r="M214" s="2">
        <v>40197</v>
      </c>
      <c r="N214" s="2">
        <v>40590</v>
      </c>
      <c r="O214" s="2"/>
      <c r="P214" s="2">
        <v>17519</v>
      </c>
      <c r="Q214" s="2">
        <v>14562</v>
      </c>
      <c r="R214" s="2">
        <v>3766</v>
      </c>
      <c r="S214" s="2">
        <v>4307</v>
      </c>
      <c r="T214" s="2">
        <v>7352</v>
      </c>
      <c r="U214" s="2">
        <v>23078</v>
      </c>
      <c r="V214" s="2">
        <v>184</v>
      </c>
      <c r="W214" s="2"/>
      <c r="X214" s="2"/>
      <c r="Y214" s="2">
        <v>35427</v>
      </c>
      <c r="Z214" s="2">
        <f>SUM(C214:X214)</f>
        <v>0</v>
      </c>
    </row>
    <row r="215" spans="1:26">
      <c r="A215" s="1"/>
      <c r="B215" s="3" t="s">
        <v>27</v>
      </c>
      <c r="C215" s="3">
        <v>21886.3769</v>
      </c>
      <c r="D215" s="3">
        <v>6.24</v>
      </c>
      <c r="E215" s="3">
        <v>958.3137000000003</v>
      </c>
      <c r="F215" s="3"/>
      <c r="G215" s="3"/>
      <c r="H215" s="3"/>
      <c r="I215" s="3"/>
      <c r="J215" s="3"/>
      <c r="K215" s="3"/>
      <c r="L215" s="3"/>
      <c r="M215" s="3">
        <v>5539.136100000002</v>
      </c>
      <c r="N215" s="3">
        <v>2015.125504435488</v>
      </c>
      <c r="O215" s="3"/>
      <c r="P215" s="3">
        <v>2429.296</v>
      </c>
      <c r="Q215" s="3">
        <v>1253.6925</v>
      </c>
      <c r="R215" s="3">
        <v>915.1379999999998</v>
      </c>
      <c r="S215" s="3">
        <v>333.7925</v>
      </c>
      <c r="T215" s="3">
        <v>1726.626</v>
      </c>
      <c r="U215" s="3">
        <v>2597.018999999999</v>
      </c>
      <c r="V215" s="3">
        <v>51.4873</v>
      </c>
      <c r="W215" s="3"/>
      <c r="X215" s="3"/>
      <c r="Y215" s="3">
        <v>3978.23</v>
      </c>
      <c r="Z215" s="3">
        <f>SUM(C215:X215)</f>
        <v>0</v>
      </c>
    </row>
    <row r="216" spans="1:26">
      <c r="A216" s="1" t="s">
        <v>134</v>
      </c>
      <c r="B216" s="2" t="s">
        <v>26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>
        <f>SUM(C216:X216)</f>
        <v>0</v>
      </c>
    </row>
    <row r="217" spans="1:26">
      <c r="A217" s="1"/>
      <c r="B217" s="3" t="s">
        <v>27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f>SUM(C217:X217)</f>
        <v>0</v>
      </c>
    </row>
    <row r="218" spans="1:26">
      <c r="A218" s="1" t="s">
        <v>135</v>
      </c>
      <c r="B218" s="2" t="s">
        <v>26</v>
      </c>
      <c r="C218" s="2">
        <v>174215</v>
      </c>
      <c r="D218" s="2">
        <v>15740</v>
      </c>
      <c r="E218" s="2"/>
      <c r="F218" s="2">
        <v>1564</v>
      </c>
      <c r="G218" s="2"/>
      <c r="H218" s="2"/>
      <c r="I218" s="2"/>
      <c r="J218" s="2"/>
      <c r="K218" s="2"/>
      <c r="L218" s="2"/>
      <c r="M218" s="2">
        <v>41754</v>
      </c>
      <c r="N218" s="2">
        <v>51792</v>
      </c>
      <c r="O218" s="2"/>
      <c r="P218" s="2">
        <v>14053</v>
      </c>
      <c r="Q218" s="2">
        <v>16530</v>
      </c>
      <c r="R218" s="2"/>
      <c r="S218" s="2">
        <v>784</v>
      </c>
      <c r="T218" s="2">
        <v>7003</v>
      </c>
      <c r="U218" s="2">
        <v>20093</v>
      </c>
      <c r="V218" s="2">
        <v>2249</v>
      </c>
      <c r="W218" s="2"/>
      <c r="X218" s="2"/>
      <c r="Y218" s="2">
        <v>95084</v>
      </c>
      <c r="Z218" s="2">
        <f>SUM(C218:X218)</f>
        <v>0</v>
      </c>
    </row>
    <row r="219" spans="1:26">
      <c r="A219" s="1"/>
      <c r="B219" s="3" t="s">
        <v>27</v>
      </c>
      <c r="C219" s="3">
        <v>19239.72243079198</v>
      </c>
      <c r="D219" s="3">
        <v>2722.014</v>
      </c>
      <c r="E219" s="3"/>
      <c r="F219" s="3">
        <v>1110.44</v>
      </c>
      <c r="G219" s="3"/>
      <c r="H219" s="3"/>
      <c r="I219" s="3"/>
      <c r="J219" s="3"/>
      <c r="K219" s="3"/>
      <c r="L219" s="3"/>
      <c r="M219" s="3">
        <v>5933.0082</v>
      </c>
      <c r="N219" s="3">
        <v>2318.647018884868</v>
      </c>
      <c r="O219" s="3"/>
      <c r="P219" s="3">
        <v>1900.957</v>
      </c>
      <c r="Q219" s="3">
        <v>1230.7408</v>
      </c>
      <c r="R219" s="3"/>
      <c r="S219" s="3">
        <v>60.76</v>
      </c>
      <c r="T219" s="3">
        <v>1397.18</v>
      </c>
      <c r="U219" s="3">
        <v>2323.7558</v>
      </c>
      <c r="V219" s="3">
        <v>613.7374</v>
      </c>
      <c r="W219" s="3"/>
      <c r="X219" s="3"/>
      <c r="Y219" s="3">
        <v>2440.343</v>
      </c>
      <c r="Z219" s="3">
        <f>SUM(C219:X219)</f>
        <v>0</v>
      </c>
    </row>
    <row r="220" spans="1:26">
      <c r="A220" s="1" t="s">
        <v>136</v>
      </c>
      <c r="B220" s="2" t="s">
        <v>26</v>
      </c>
      <c r="C220" s="2">
        <v>194491</v>
      </c>
      <c r="D220" s="2">
        <v>3711</v>
      </c>
      <c r="E220" s="2">
        <v>1106</v>
      </c>
      <c r="F220" s="2">
        <v>1556</v>
      </c>
      <c r="G220" s="2"/>
      <c r="H220" s="2"/>
      <c r="I220" s="2"/>
      <c r="J220" s="2"/>
      <c r="K220" s="2"/>
      <c r="L220" s="2"/>
      <c r="M220" s="2">
        <v>40484</v>
      </c>
      <c r="N220" s="2">
        <v>42358</v>
      </c>
      <c r="O220" s="2"/>
      <c r="P220" s="2">
        <v>26567</v>
      </c>
      <c r="Q220" s="2">
        <v>10050</v>
      </c>
      <c r="R220" s="2">
        <v>365</v>
      </c>
      <c r="S220" s="2">
        <v>16123</v>
      </c>
      <c r="T220" s="2">
        <v>5000</v>
      </c>
      <c r="U220" s="2">
        <v>26056</v>
      </c>
      <c r="V220" s="2">
        <v>3497</v>
      </c>
      <c r="W220" s="2"/>
      <c r="X220" s="2"/>
      <c r="Y220" s="2">
        <v>8860</v>
      </c>
      <c r="Z220" s="2">
        <f>SUM(C220:X220)</f>
        <v>0</v>
      </c>
    </row>
    <row r="221" spans="1:26">
      <c r="A221" s="1"/>
      <c r="B221" s="3" t="s">
        <v>27</v>
      </c>
      <c r="C221" s="3">
        <v>20183.73334560727</v>
      </c>
      <c r="D221" s="3">
        <v>643.6899</v>
      </c>
      <c r="E221" s="3">
        <v>701.5880000000001</v>
      </c>
      <c r="F221" s="3">
        <v>1104.76</v>
      </c>
      <c r="G221" s="3"/>
      <c r="H221" s="3"/>
      <c r="I221" s="3"/>
      <c r="J221" s="3"/>
      <c r="K221" s="3"/>
      <c r="L221" s="3"/>
      <c r="M221" s="3">
        <v>5827.408200000001</v>
      </c>
      <c r="N221" s="3">
        <v>2285.946676682388</v>
      </c>
      <c r="O221" s="3"/>
      <c r="P221" s="3">
        <v>3391.405</v>
      </c>
      <c r="Q221" s="3">
        <v>734.1189999999999</v>
      </c>
      <c r="R221" s="3">
        <v>88.69499999999999</v>
      </c>
      <c r="S221" s="3">
        <v>2255.84</v>
      </c>
      <c r="T221" s="3">
        <v>701.47</v>
      </c>
      <c r="U221" s="3">
        <v>3202.4086</v>
      </c>
      <c r="V221" s="3">
        <v>976.442</v>
      </c>
      <c r="W221" s="3"/>
      <c r="X221" s="3"/>
      <c r="Y221" s="3">
        <v>354.92</v>
      </c>
      <c r="Z221" s="3">
        <f>SUM(C221:X221)</f>
        <v>0</v>
      </c>
    </row>
    <row r="222" spans="1:26">
      <c r="A222" s="1" t="s">
        <v>137</v>
      </c>
      <c r="B222" s="2" t="s">
        <v>26</v>
      </c>
      <c r="C222" s="2">
        <v>226129</v>
      </c>
      <c r="D222" s="2">
        <v>17570</v>
      </c>
      <c r="E222" s="2">
        <v>2174</v>
      </c>
      <c r="F222" s="2">
        <v>4</v>
      </c>
      <c r="G222" s="2"/>
      <c r="H222" s="2"/>
      <c r="I222" s="2"/>
      <c r="J222" s="2"/>
      <c r="K222" s="2"/>
      <c r="L222" s="2"/>
      <c r="M222" s="2">
        <v>41337</v>
      </c>
      <c r="N222" s="2">
        <v>74661</v>
      </c>
      <c r="O222" s="2"/>
      <c r="P222" s="2">
        <v>25161</v>
      </c>
      <c r="Q222" s="2">
        <v>15104</v>
      </c>
      <c r="R222" s="2"/>
      <c r="S222" s="2">
        <v>6293</v>
      </c>
      <c r="T222" s="2">
        <v>8300</v>
      </c>
      <c r="U222" s="2">
        <v>21761</v>
      </c>
      <c r="V222" s="2">
        <v>2711</v>
      </c>
      <c r="W222" s="2"/>
      <c r="X222" s="2"/>
      <c r="Y222" s="2">
        <v>38844</v>
      </c>
      <c r="Z222" s="2">
        <f>SUM(C222:X222)</f>
        <v>0</v>
      </c>
    </row>
    <row r="223" spans="1:26">
      <c r="A223" s="1"/>
      <c r="B223" s="3" t="s">
        <v>27</v>
      </c>
      <c r="C223" s="3">
        <v>23536.22744216644</v>
      </c>
      <c r="D223" s="3">
        <v>4133.3103</v>
      </c>
      <c r="E223" s="3">
        <v>1082.1454</v>
      </c>
      <c r="F223" s="3">
        <v>2.84</v>
      </c>
      <c r="G223" s="3"/>
      <c r="H223" s="3"/>
      <c r="I223" s="3"/>
      <c r="J223" s="3"/>
      <c r="K223" s="3"/>
      <c r="L223" s="3"/>
      <c r="M223" s="3">
        <v>5847.6715</v>
      </c>
      <c r="N223" s="3">
        <v>4108.6209</v>
      </c>
      <c r="O223" s="3"/>
      <c r="P223" s="3">
        <v>3267.809</v>
      </c>
      <c r="Q223" s="3">
        <v>1171.4565</v>
      </c>
      <c r="R223" s="3"/>
      <c r="S223" s="3">
        <v>881.02</v>
      </c>
      <c r="T223" s="3">
        <v>1230.47</v>
      </c>
      <c r="U223" s="3">
        <v>2653.166</v>
      </c>
      <c r="V223" s="3">
        <v>646.3837</v>
      </c>
      <c r="W223" s="3"/>
      <c r="X223" s="3"/>
      <c r="Y223" s="3">
        <v>1537.8355</v>
      </c>
      <c r="Z223" s="3">
        <f>SUM(C223:X223)</f>
        <v>0</v>
      </c>
    </row>
    <row r="224" spans="1:26">
      <c r="A224" s="1" t="s">
        <v>138</v>
      </c>
      <c r="B224" s="2" t="s">
        <v>26</v>
      </c>
      <c r="C224" s="2">
        <v>206844</v>
      </c>
      <c r="D224" s="2">
        <v>33910</v>
      </c>
      <c r="E224" s="2">
        <v>3191</v>
      </c>
      <c r="F224" s="2"/>
      <c r="G224" s="2"/>
      <c r="H224" s="2"/>
      <c r="I224" s="2"/>
      <c r="J224" s="2"/>
      <c r="K224" s="2"/>
      <c r="L224" s="2"/>
      <c r="M224" s="2">
        <v>40182</v>
      </c>
      <c r="N224" s="2">
        <v>70952</v>
      </c>
      <c r="O224" s="2"/>
      <c r="P224" s="2">
        <v>20776</v>
      </c>
      <c r="Q224" s="2">
        <v>13812</v>
      </c>
      <c r="R224" s="2"/>
      <c r="S224" s="2">
        <v>4872</v>
      </c>
      <c r="T224" s="2">
        <v>11000</v>
      </c>
      <c r="U224" s="2">
        <v>20325</v>
      </c>
      <c r="V224" s="2">
        <v>5422</v>
      </c>
      <c r="W224" s="2"/>
      <c r="X224" s="2"/>
      <c r="Y224" s="2">
        <v>20788</v>
      </c>
      <c r="Z224" s="2">
        <f>SUM(C224:X224)</f>
        <v>0</v>
      </c>
    </row>
    <row r="225" spans="1:26">
      <c r="A225" s="1"/>
      <c r="B225" s="3" t="s">
        <v>27</v>
      </c>
      <c r="C225" s="3">
        <v>22499.45874678779</v>
      </c>
      <c r="D225" s="3">
        <v>7655.119999999999</v>
      </c>
      <c r="E225" s="3">
        <v>1793.9552</v>
      </c>
      <c r="F225" s="3"/>
      <c r="G225" s="3"/>
      <c r="H225" s="3"/>
      <c r="I225" s="3"/>
      <c r="J225" s="3"/>
      <c r="K225" s="3"/>
      <c r="L225" s="3"/>
      <c r="M225" s="3">
        <v>5711.982099999999</v>
      </c>
      <c r="N225" s="3">
        <v>3783.1225</v>
      </c>
      <c r="O225" s="3"/>
      <c r="P225" s="3">
        <v>3234.421</v>
      </c>
      <c r="Q225" s="3">
        <v>1027.7741</v>
      </c>
      <c r="R225" s="3"/>
      <c r="S225" s="3">
        <v>630.5175000000002</v>
      </c>
      <c r="T225" s="3">
        <v>1692.19</v>
      </c>
      <c r="U225" s="3">
        <v>2484.0128</v>
      </c>
      <c r="V225" s="3">
        <v>1350.1732</v>
      </c>
      <c r="W225" s="3"/>
      <c r="X225" s="3"/>
      <c r="Y225" s="3">
        <v>1421.4055</v>
      </c>
      <c r="Z225" s="3">
        <f>SUM(C225:X225)</f>
        <v>0</v>
      </c>
    </row>
    <row r="226" spans="1:26">
      <c r="A226" s="1" t="s">
        <v>139</v>
      </c>
      <c r="B226" s="2" t="s">
        <v>26</v>
      </c>
      <c r="C226" s="2">
        <v>238308</v>
      </c>
      <c r="D226" s="2">
        <v>4006</v>
      </c>
      <c r="E226" s="2">
        <v>10053</v>
      </c>
      <c r="F226" s="2"/>
      <c r="G226" s="2"/>
      <c r="H226" s="2"/>
      <c r="I226" s="2"/>
      <c r="J226" s="2"/>
      <c r="K226" s="2"/>
      <c r="L226" s="2"/>
      <c r="M226" s="2">
        <v>40711</v>
      </c>
      <c r="N226" s="2">
        <v>53897</v>
      </c>
      <c r="O226" s="2"/>
      <c r="P226" s="2">
        <v>8653</v>
      </c>
      <c r="Q226" s="2">
        <v>15623</v>
      </c>
      <c r="R226" s="2">
        <v>2160</v>
      </c>
      <c r="S226" s="2">
        <v>3171</v>
      </c>
      <c r="T226" s="2">
        <v>13929</v>
      </c>
      <c r="U226" s="2">
        <v>10072</v>
      </c>
      <c r="V226" s="2">
        <v>3174</v>
      </c>
      <c r="W226" s="2"/>
      <c r="X226" s="2"/>
      <c r="Y226" s="2">
        <v>68109</v>
      </c>
      <c r="Z226" s="2">
        <f>SUM(C226:X226)</f>
        <v>0</v>
      </c>
    </row>
    <row r="227" spans="1:26">
      <c r="A227" s="1"/>
      <c r="B227" s="3" t="s">
        <v>27</v>
      </c>
      <c r="C227" s="3">
        <v>24625.47509999999</v>
      </c>
      <c r="D227" s="3">
        <v>857.279</v>
      </c>
      <c r="E227" s="3">
        <v>5310.679600000001</v>
      </c>
      <c r="F227" s="3"/>
      <c r="G227" s="3"/>
      <c r="H227" s="3"/>
      <c r="I227" s="3"/>
      <c r="J227" s="3"/>
      <c r="K227" s="3"/>
      <c r="L227" s="3"/>
      <c r="M227" s="3">
        <v>5801.7075</v>
      </c>
      <c r="N227" s="3">
        <v>2697.999700000001</v>
      </c>
      <c r="O227" s="3"/>
      <c r="P227" s="3">
        <v>1947.895</v>
      </c>
      <c r="Q227" s="3">
        <v>2053.7004</v>
      </c>
      <c r="R227" s="3">
        <v>359.8560000000001</v>
      </c>
      <c r="S227" s="3">
        <v>436.2</v>
      </c>
      <c r="T227" s="3">
        <v>2193.434999999999</v>
      </c>
      <c r="U227" s="3">
        <v>1299.607</v>
      </c>
      <c r="V227" s="3">
        <v>900.4314000000002</v>
      </c>
      <c r="W227" s="3"/>
      <c r="X227" s="3"/>
      <c r="Y227" s="3">
        <v>3319.698999999999</v>
      </c>
      <c r="Z227" s="3">
        <f>SUM(C227:X227)</f>
        <v>0</v>
      </c>
    </row>
    <row r="228" spans="1:26">
      <c r="A228" s="1" t="s">
        <v>140</v>
      </c>
      <c r="B228" s="2" t="s">
        <v>26</v>
      </c>
      <c r="C228" s="2">
        <v>294437</v>
      </c>
      <c r="D228" s="2">
        <v>75167</v>
      </c>
      <c r="E228" s="2">
        <v>6701</v>
      </c>
      <c r="F228" s="2"/>
      <c r="G228" s="2"/>
      <c r="H228" s="2"/>
      <c r="I228" s="2"/>
      <c r="J228" s="2"/>
      <c r="K228" s="2"/>
      <c r="L228" s="2"/>
      <c r="M228" s="2">
        <v>25885</v>
      </c>
      <c r="N228" s="2">
        <v>59842</v>
      </c>
      <c r="O228" s="2"/>
      <c r="P228" s="2">
        <v>19481</v>
      </c>
      <c r="Q228" s="2">
        <v>27992</v>
      </c>
      <c r="R228" s="2">
        <v>1009</v>
      </c>
      <c r="S228" s="2">
        <v>2331</v>
      </c>
      <c r="T228" s="2">
        <v>800</v>
      </c>
      <c r="U228" s="2">
        <v>18604</v>
      </c>
      <c r="V228" s="2">
        <v>97</v>
      </c>
      <c r="W228" s="2"/>
      <c r="X228" s="2"/>
      <c r="Y228" s="2">
        <v>47500</v>
      </c>
      <c r="Z228" s="2">
        <f>SUM(C228:X228)</f>
        <v>0</v>
      </c>
    </row>
    <row r="229" spans="1:26">
      <c r="A229" s="1"/>
      <c r="B229" s="3" t="s">
        <v>27</v>
      </c>
      <c r="C229" s="3">
        <v>32439.4476</v>
      </c>
      <c r="D229" s="3">
        <v>13425.6463</v>
      </c>
      <c r="E229" s="3">
        <v>3345.1128</v>
      </c>
      <c r="F229" s="3"/>
      <c r="G229" s="3"/>
      <c r="H229" s="3"/>
      <c r="I229" s="3"/>
      <c r="J229" s="3"/>
      <c r="K229" s="3"/>
      <c r="L229" s="3"/>
      <c r="M229" s="3">
        <v>3744.2605</v>
      </c>
      <c r="N229" s="3">
        <v>3753.6544</v>
      </c>
      <c r="O229" s="3"/>
      <c r="P229" s="3">
        <v>2561.800000000001</v>
      </c>
      <c r="Q229" s="3">
        <v>2453.8405</v>
      </c>
      <c r="R229" s="3">
        <v>168.0994</v>
      </c>
      <c r="S229" s="3">
        <v>326.34</v>
      </c>
      <c r="T229" s="3">
        <v>111.76</v>
      </c>
      <c r="U229" s="3">
        <v>2256.2852</v>
      </c>
      <c r="V229" s="3">
        <v>23.45</v>
      </c>
      <c r="W229" s="3"/>
      <c r="X229" s="3"/>
      <c r="Y229" s="3">
        <v>2691.05</v>
      </c>
      <c r="Z229" s="3">
        <f>SUM(C229:X229)</f>
        <v>0</v>
      </c>
    </row>
    <row r="230" spans="1:26">
      <c r="A230" s="1" t="s">
        <v>141</v>
      </c>
      <c r="B230" s="2" t="s">
        <v>26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>
        <f>SUM(C230:X230)</f>
        <v>0</v>
      </c>
    </row>
    <row r="231" spans="1:26">
      <c r="A231" s="1"/>
      <c r="B231" s="3" t="s">
        <v>27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f>SUM(C231:X231)</f>
        <v>0</v>
      </c>
    </row>
    <row r="232" spans="1:26">
      <c r="A232" s="1" t="s">
        <v>142</v>
      </c>
      <c r="B232" s="2" t="s">
        <v>26</v>
      </c>
      <c r="C232" s="2">
        <v>282691</v>
      </c>
      <c r="D232" s="2">
        <v>38483</v>
      </c>
      <c r="E232" s="2">
        <v>3847</v>
      </c>
      <c r="F232" s="2"/>
      <c r="G232" s="2"/>
      <c r="H232" s="2"/>
      <c r="I232" s="2"/>
      <c r="J232" s="2"/>
      <c r="K232" s="2"/>
      <c r="L232" s="2"/>
      <c r="M232" s="2">
        <v>25320</v>
      </c>
      <c r="N232" s="2">
        <v>66268</v>
      </c>
      <c r="O232" s="2"/>
      <c r="P232" s="2">
        <v>6188</v>
      </c>
      <c r="Q232" s="2">
        <v>42978</v>
      </c>
      <c r="R232" s="2">
        <v>7988</v>
      </c>
      <c r="S232" s="2">
        <v>4485</v>
      </c>
      <c r="T232" s="2"/>
      <c r="U232" s="2">
        <v>20032</v>
      </c>
      <c r="V232" s="2">
        <v>4817</v>
      </c>
      <c r="W232" s="2"/>
      <c r="X232" s="2"/>
      <c r="Y232" s="2">
        <v>1466</v>
      </c>
      <c r="Z232" s="2">
        <f>SUM(C232:X232)</f>
        <v>0</v>
      </c>
    </row>
    <row r="233" spans="1:26">
      <c r="A233" s="1"/>
      <c r="B233" s="3" t="s">
        <v>27</v>
      </c>
      <c r="C233" s="3">
        <v>31427.9938</v>
      </c>
      <c r="D233" s="3">
        <v>6664.419300000004</v>
      </c>
      <c r="E233" s="3">
        <v>1900.5558</v>
      </c>
      <c r="F233" s="3"/>
      <c r="G233" s="3"/>
      <c r="H233" s="3"/>
      <c r="I233" s="3"/>
      <c r="J233" s="3"/>
      <c r="K233" s="3"/>
      <c r="L233" s="3"/>
      <c r="M233" s="3">
        <v>3622.199999999999</v>
      </c>
      <c r="N233" s="3">
        <v>3856.8636</v>
      </c>
      <c r="O233" s="3"/>
      <c r="P233" s="3">
        <v>1440.145</v>
      </c>
      <c r="Q233" s="3">
        <v>4964.7508</v>
      </c>
      <c r="R233" s="3">
        <v>1330.8008</v>
      </c>
      <c r="S233" s="3">
        <v>627.9000000000001</v>
      </c>
      <c r="T233" s="3"/>
      <c r="U233" s="3">
        <v>2401.7128</v>
      </c>
      <c r="V233" s="3">
        <v>1179.54</v>
      </c>
      <c r="W233" s="3"/>
      <c r="X233" s="3"/>
      <c r="Y233" s="3">
        <v>133.282</v>
      </c>
      <c r="Z233" s="3">
        <f>SUM(C233:X233)</f>
        <v>0</v>
      </c>
    </row>
    <row r="234" spans="1:26">
      <c r="A234" s="1" t="s">
        <v>143</v>
      </c>
      <c r="B234" s="2" t="s">
        <v>26</v>
      </c>
      <c r="C234" s="2">
        <v>269462</v>
      </c>
      <c r="D234" s="2">
        <v>29631</v>
      </c>
      <c r="E234" s="2">
        <v>48</v>
      </c>
      <c r="F234" s="2"/>
      <c r="G234" s="2"/>
      <c r="H234" s="2"/>
      <c r="I234" s="2"/>
      <c r="J234" s="2"/>
      <c r="K234" s="2"/>
      <c r="L234" s="2"/>
      <c r="M234" s="2">
        <v>27868</v>
      </c>
      <c r="N234" s="2">
        <v>68812</v>
      </c>
      <c r="O234" s="2"/>
      <c r="P234" s="2">
        <v>138</v>
      </c>
      <c r="Q234" s="2">
        <v>38742</v>
      </c>
      <c r="R234" s="2">
        <v>1909</v>
      </c>
      <c r="S234" s="2">
        <v>489</v>
      </c>
      <c r="T234" s="2">
        <v>7529</v>
      </c>
      <c r="U234" s="2">
        <v>10349</v>
      </c>
      <c r="V234" s="2">
        <v>4406</v>
      </c>
      <c r="W234" s="2"/>
      <c r="X234" s="2">
        <v>2235</v>
      </c>
      <c r="Y234" s="2">
        <v>53486</v>
      </c>
      <c r="Z234" s="2">
        <f>SUM(C234:X234)</f>
        <v>0</v>
      </c>
    </row>
    <row r="235" spans="1:26">
      <c r="A235" s="1"/>
      <c r="B235" s="3" t="s">
        <v>27</v>
      </c>
      <c r="C235" s="3">
        <v>30917.57239999998</v>
      </c>
      <c r="D235" s="3">
        <v>5210.320000000001</v>
      </c>
      <c r="E235" s="3">
        <v>25.2356</v>
      </c>
      <c r="F235" s="3"/>
      <c r="G235" s="3"/>
      <c r="H235" s="3"/>
      <c r="I235" s="3"/>
      <c r="J235" s="3"/>
      <c r="K235" s="3"/>
      <c r="L235" s="3"/>
      <c r="M235" s="3">
        <v>4172.3128</v>
      </c>
      <c r="N235" s="3">
        <v>4306.437699999999</v>
      </c>
      <c r="O235" s="3"/>
      <c r="P235" s="3">
        <v>25.17</v>
      </c>
      <c r="Q235" s="3">
        <v>5567.573700000001</v>
      </c>
      <c r="R235" s="3">
        <v>489.3554</v>
      </c>
      <c r="S235" s="3">
        <v>68.46000000000001</v>
      </c>
      <c r="T235" s="3">
        <v>1106.575</v>
      </c>
      <c r="U235" s="3">
        <v>1993.064</v>
      </c>
      <c r="V235" s="3">
        <v>1338.42</v>
      </c>
      <c r="W235" s="3"/>
      <c r="X235" s="3">
        <v>1327.845</v>
      </c>
      <c r="Y235" s="3">
        <v>3471.688000000002</v>
      </c>
      <c r="Z235" s="3">
        <f>SUM(C235:X235)</f>
        <v>0</v>
      </c>
    </row>
    <row r="236" spans="1:26">
      <c r="A236" s="1" t="s">
        <v>144</v>
      </c>
      <c r="B236" s="2" t="s">
        <v>26</v>
      </c>
      <c r="C236" s="2">
        <v>296780</v>
      </c>
      <c r="D236" s="2">
        <v>26369</v>
      </c>
      <c r="E236" s="2">
        <v>5454</v>
      </c>
      <c r="F236" s="2"/>
      <c r="G236" s="2"/>
      <c r="H236" s="2"/>
      <c r="I236" s="2"/>
      <c r="J236" s="2"/>
      <c r="K236" s="2"/>
      <c r="L236" s="2"/>
      <c r="M236" s="2">
        <v>25525</v>
      </c>
      <c r="N236" s="2">
        <v>87263</v>
      </c>
      <c r="O236" s="2"/>
      <c r="P236" s="2">
        <v>3574</v>
      </c>
      <c r="Q236" s="2">
        <v>32405</v>
      </c>
      <c r="R236" s="2">
        <v>8840</v>
      </c>
      <c r="S236" s="2">
        <v>1805</v>
      </c>
      <c r="T236" s="2">
        <v>12362</v>
      </c>
      <c r="U236" s="2">
        <v>9066</v>
      </c>
      <c r="V236" s="2">
        <v>623</v>
      </c>
      <c r="W236" s="2"/>
      <c r="X236" s="2"/>
      <c r="Y236" s="2">
        <v>74353</v>
      </c>
      <c r="Z236" s="2">
        <f>SUM(C236:X236)</f>
        <v>0</v>
      </c>
    </row>
    <row r="237" spans="1:26">
      <c r="A237" s="1"/>
      <c r="B237" s="3" t="s">
        <v>27</v>
      </c>
      <c r="C237" s="3">
        <v>33009.93532747501</v>
      </c>
      <c r="D237" s="3">
        <v>5205.461800000001</v>
      </c>
      <c r="E237" s="3">
        <v>2995.2392</v>
      </c>
      <c r="F237" s="3"/>
      <c r="G237" s="3"/>
      <c r="H237" s="3"/>
      <c r="I237" s="3"/>
      <c r="J237" s="3"/>
      <c r="K237" s="3"/>
      <c r="L237" s="3"/>
      <c r="M237" s="3">
        <v>3771.1254</v>
      </c>
      <c r="N237" s="3">
        <v>4712.434050000001</v>
      </c>
      <c r="O237" s="3"/>
      <c r="P237" s="3">
        <v>786.28</v>
      </c>
      <c r="Q237" s="3">
        <v>2845.475379999999</v>
      </c>
      <c r="R237" s="3">
        <v>1998.452399999999</v>
      </c>
      <c r="S237" s="3">
        <v>252.7</v>
      </c>
      <c r="T237" s="3">
        <v>1836.81</v>
      </c>
      <c r="U237" s="3">
        <v>1254.821</v>
      </c>
      <c r="V237" s="3">
        <v>197.8654</v>
      </c>
      <c r="W237" s="3"/>
      <c r="X237" s="3"/>
      <c r="Y237" s="3">
        <v>3651.928999999999</v>
      </c>
      <c r="Z237" s="3">
        <f>SUM(C237:X237)</f>
        <v>0</v>
      </c>
    </row>
    <row r="238" spans="1:26">
      <c r="A238" s="1" t="s">
        <v>145</v>
      </c>
      <c r="B238" s="2" t="s">
        <v>26</v>
      </c>
      <c r="C238" s="2">
        <v>300498</v>
      </c>
      <c r="D238" s="2">
        <v>29569</v>
      </c>
      <c r="E238" s="2">
        <v>2819</v>
      </c>
      <c r="F238" s="2"/>
      <c r="G238" s="2"/>
      <c r="H238" s="2"/>
      <c r="I238" s="2"/>
      <c r="J238" s="2"/>
      <c r="K238" s="2"/>
      <c r="L238" s="2"/>
      <c r="M238" s="2">
        <v>26100</v>
      </c>
      <c r="N238" s="2">
        <v>75825</v>
      </c>
      <c r="O238" s="2"/>
      <c r="P238" s="2">
        <v>7216</v>
      </c>
      <c r="Q238" s="2">
        <v>36870</v>
      </c>
      <c r="R238" s="2">
        <v>10000</v>
      </c>
      <c r="S238" s="2"/>
      <c r="T238" s="2">
        <v>15779</v>
      </c>
      <c r="U238" s="2">
        <v>18785</v>
      </c>
      <c r="V238" s="2">
        <v>1449</v>
      </c>
      <c r="W238" s="2"/>
      <c r="X238" s="2">
        <v>20</v>
      </c>
      <c r="Y238" s="2">
        <v>64779</v>
      </c>
      <c r="Z238" s="2">
        <f>SUM(C238:X238)</f>
        <v>0</v>
      </c>
    </row>
    <row r="239" spans="1:26">
      <c r="A239" s="1"/>
      <c r="B239" s="3" t="s">
        <v>27</v>
      </c>
      <c r="C239" s="3">
        <v>32133.2194</v>
      </c>
      <c r="D239" s="3">
        <v>5331.1119</v>
      </c>
      <c r="E239" s="3">
        <v>1429.1</v>
      </c>
      <c r="F239" s="3"/>
      <c r="G239" s="3"/>
      <c r="H239" s="3"/>
      <c r="I239" s="3"/>
      <c r="J239" s="3"/>
      <c r="K239" s="3"/>
      <c r="L239" s="3"/>
      <c r="M239" s="3">
        <v>3700.22</v>
      </c>
      <c r="N239" s="3">
        <v>4229.9306</v>
      </c>
      <c r="O239" s="3"/>
      <c r="P239" s="3">
        <v>793.76</v>
      </c>
      <c r="Q239" s="3">
        <v>3375.386000000001</v>
      </c>
      <c r="R239" s="3">
        <v>2745.5</v>
      </c>
      <c r="S239" s="3"/>
      <c r="T239" s="3">
        <v>2396.115</v>
      </c>
      <c r="U239" s="3">
        <v>2512.6172</v>
      </c>
      <c r="V239" s="3">
        <v>319.03</v>
      </c>
      <c r="W239" s="3"/>
      <c r="X239" s="3">
        <v>12.03</v>
      </c>
      <c r="Y239" s="3">
        <v>3465.287</v>
      </c>
      <c r="Z239" s="3">
        <f>SUM(C239:X239)</f>
        <v>0</v>
      </c>
    </row>
    <row r="240" spans="1:26">
      <c r="A240" s="1" t="s">
        <v>146</v>
      </c>
      <c r="B240" s="2" t="s">
        <v>26</v>
      </c>
      <c r="C240" s="2">
        <v>287147</v>
      </c>
      <c r="D240" s="2">
        <v>10619</v>
      </c>
      <c r="E240" s="2">
        <v>469</v>
      </c>
      <c r="F240" s="2"/>
      <c r="G240" s="2"/>
      <c r="H240" s="2"/>
      <c r="I240" s="2"/>
      <c r="J240" s="2"/>
      <c r="K240" s="2"/>
      <c r="L240" s="2"/>
      <c r="M240" s="2">
        <v>20754</v>
      </c>
      <c r="N240" s="2">
        <v>38763</v>
      </c>
      <c r="O240" s="2"/>
      <c r="P240" s="2"/>
      <c r="Q240" s="2">
        <v>8503</v>
      </c>
      <c r="R240" s="2">
        <v>10324</v>
      </c>
      <c r="S240" s="2"/>
      <c r="T240" s="2">
        <v>19286</v>
      </c>
      <c r="U240" s="2">
        <v>16277</v>
      </c>
      <c r="V240" s="2">
        <v>1554</v>
      </c>
      <c r="W240" s="2"/>
      <c r="X240" s="2"/>
      <c r="Y240" s="2">
        <v>43482</v>
      </c>
      <c r="Z240" s="2">
        <f>SUM(C240:X240)</f>
        <v>0</v>
      </c>
    </row>
    <row r="241" spans="1:26">
      <c r="A241" s="1"/>
      <c r="B241" s="3" t="s">
        <v>27</v>
      </c>
      <c r="C241" s="3">
        <v>30567.08069999995</v>
      </c>
      <c r="D241" s="3">
        <v>1795.6043</v>
      </c>
      <c r="E241" s="3">
        <v>203.5348</v>
      </c>
      <c r="F241" s="3"/>
      <c r="G241" s="3"/>
      <c r="H241" s="3"/>
      <c r="I241" s="3"/>
      <c r="J241" s="3"/>
      <c r="K241" s="3"/>
      <c r="L241" s="3"/>
      <c r="M241" s="3">
        <v>2999.929999999999</v>
      </c>
      <c r="N241" s="3">
        <v>2269.212999999999</v>
      </c>
      <c r="O241" s="3"/>
      <c r="P241" s="3"/>
      <c r="Q241" s="3">
        <v>928.6258000000001</v>
      </c>
      <c r="R241" s="3">
        <v>2422.8008</v>
      </c>
      <c r="S241" s="3"/>
      <c r="T241" s="3">
        <v>2937.64</v>
      </c>
      <c r="U241" s="3">
        <v>2114.943</v>
      </c>
      <c r="V241" s="3">
        <v>426.6280999999999</v>
      </c>
      <c r="W241" s="3"/>
      <c r="X241" s="3"/>
      <c r="Y241" s="3">
        <v>4938.893000000001</v>
      </c>
      <c r="Z241" s="3">
        <f>SUM(C241:X241)</f>
        <v>0</v>
      </c>
    </row>
    <row r="242" spans="1:26">
      <c r="A242" s="1" t="s">
        <v>147</v>
      </c>
      <c r="B242" s="2" t="s">
        <v>26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>
        <f>SUM(C242:X242)</f>
        <v>0</v>
      </c>
    </row>
    <row r="243" spans="1:26">
      <c r="A243" s="1"/>
      <c r="B243" s="3" t="s">
        <v>27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f>SUM(C243:X243)</f>
        <v>0</v>
      </c>
    </row>
    <row r="244" spans="1:26">
      <c r="A244" s="1" t="s">
        <v>148</v>
      </c>
      <c r="B244" s="2" t="s">
        <v>26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>
        <f>SUM(C244:X244)</f>
        <v>0</v>
      </c>
    </row>
    <row r="245" spans="1:26">
      <c r="A245" s="1"/>
      <c r="B245" s="3" t="s">
        <v>27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f>SUM(C245:X245)</f>
        <v>0</v>
      </c>
    </row>
    <row r="246" spans="1:26">
      <c r="A246" s="1" t="s">
        <v>149</v>
      </c>
      <c r="B246" s="2" t="s">
        <v>26</v>
      </c>
      <c r="C246" s="2">
        <v>311786</v>
      </c>
      <c r="D246" s="2">
        <v>40394</v>
      </c>
      <c r="E246" s="2">
        <v>3865</v>
      </c>
      <c r="F246" s="2"/>
      <c r="G246" s="2"/>
      <c r="H246" s="2"/>
      <c r="I246" s="2"/>
      <c r="J246" s="2"/>
      <c r="K246" s="2"/>
      <c r="L246" s="2"/>
      <c r="M246" s="2">
        <v>28245</v>
      </c>
      <c r="N246" s="2">
        <v>60669</v>
      </c>
      <c r="O246" s="2"/>
      <c r="P246" s="2">
        <v>5185</v>
      </c>
      <c r="Q246" s="2">
        <v>43178</v>
      </c>
      <c r="R246" s="2">
        <v>1360</v>
      </c>
      <c r="S246" s="2"/>
      <c r="T246" s="2">
        <v>7510</v>
      </c>
      <c r="U246" s="2">
        <v>756</v>
      </c>
      <c r="V246" s="2"/>
      <c r="W246" s="2"/>
      <c r="X246" s="2"/>
      <c r="Y246" s="2"/>
      <c r="Z246" s="2">
        <f>SUM(C246:X246)</f>
        <v>0</v>
      </c>
    </row>
    <row r="247" spans="1:26">
      <c r="A247" s="1"/>
      <c r="B247" s="3" t="s">
        <v>27</v>
      </c>
      <c r="C247" s="3">
        <v>33427.70009999999</v>
      </c>
      <c r="D247" s="3">
        <v>7068.5984</v>
      </c>
      <c r="E247" s="3">
        <v>1914.6564</v>
      </c>
      <c r="F247" s="3"/>
      <c r="G247" s="3"/>
      <c r="H247" s="3"/>
      <c r="I247" s="3"/>
      <c r="J247" s="3"/>
      <c r="K247" s="3"/>
      <c r="L247" s="3"/>
      <c r="M247" s="3">
        <v>4004.420000000001</v>
      </c>
      <c r="N247" s="3">
        <v>2759.6439</v>
      </c>
      <c r="O247" s="3"/>
      <c r="P247" s="3">
        <v>709.225</v>
      </c>
      <c r="Q247" s="3">
        <v>3935.1614</v>
      </c>
      <c r="R247" s="3">
        <v>325.4936</v>
      </c>
      <c r="S247" s="3"/>
      <c r="T247" s="3">
        <v>1147.84</v>
      </c>
      <c r="U247" s="3">
        <v>86.94</v>
      </c>
      <c r="V247" s="3"/>
      <c r="W247" s="3"/>
      <c r="X247" s="3"/>
      <c r="Y247" s="3"/>
      <c r="Z247" s="3">
        <f>SUM(C247:X247)</f>
        <v>0</v>
      </c>
    </row>
    <row r="248" spans="1:26">
      <c r="A248" s="1" t="s">
        <v>150</v>
      </c>
      <c r="B248" s="2" t="s">
        <v>26</v>
      </c>
      <c r="C248" s="2">
        <v>264696</v>
      </c>
      <c r="D248" s="2">
        <v>35783</v>
      </c>
      <c r="E248" s="2">
        <v>523</v>
      </c>
      <c r="F248" s="2"/>
      <c r="G248" s="2"/>
      <c r="H248" s="2"/>
      <c r="I248" s="2"/>
      <c r="J248" s="2"/>
      <c r="K248" s="2"/>
      <c r="L248" s="2"/>
      <c r="M248" s="2">
        <v>30291</v>
      </c>
      <c r="N248" s="2">
        <v>50616</v>
      </c>
      <c r="O248" s="2"/>
      <c r="P248" s="2">
        <v>4271</v>
      </c>
      <c r="Q248" s="2">
        <v>44926</v>
      </c>
      <c r="R248" s="2">
        <v>2565</v>
      </c>
      <c r="S248" s="2">
        <v>4552</v>
      </c>
      <c r="T248" s="2">
        <v>15026</v>
      </c>
      <c r="U248" s="2">
        <v>21986</v>
      </c>
      <c r="V248" s="2">
        <v>5024</v>
      </c>
      <c r="W248" s="2"/>
      <c r="X248" s="2"/>
      <c r="Y248" s="2">
        <v>64992</v>
      </c>
      <c r="Z248" s="2">
        <f>SUM(C248:X248)</f>
        <v>0</v>
      </c>
    </row>
    <row r="249" spans="1:26">
      <c r="A249" s="1"/>
      <c r="B249" s="3" t="s">
        <v>27</v>
      </c>
      <c r="C249" s="3">
        <v>28211.75497785053</v>
      </c>
      <c r="D249" s="3">
        <v>6189.67</v>
      </c>
      <c r="E249" s="3">
        <v>241.8904</v>
      </c>
      <c r="F249" s="3"/>
      <c r="G249" s="3"/>
      <c r="H249" s="3"/>
      <c r="I249" s="3"/>
      <c r="J249" s="3"/>
      <c r="K249" s="3"/>
      <c r="L249" s="3"/>
      <c r="M249" s="3">
        <v>4206.157499999999</v>
      </c>
      <c r="N249" s="3">
        <v>2361.9857</v>
      </c>
      <c r="O249" s="3"/>
      <c r="P249" s="3">
        <v>586.1900000000001</v>
      </c>
      <c r="Q249" s="3">
        <v>4039.9566</v>
      </c>
      <c r="R249" s="3">
        <v>407.99</v>
      </c>
      <c r="S249" s="3">
        <v>637.2800000000001</v>
      </c>
      <c r="T249" s="3">
        <v>2205.54</v>
      </c>
      <c r="U249" s="3">
        <v>2669.8853</v>
      </c>
      <c r="V249" s="3">
        <v>1055.04</v>
      </c>
      <c r="W249" s="3"/>
      <c r="X249" s="3"/>
      <c r="Y249" s="3">
        <v>2545.2485</v>
      </c>
      <c r="Z249" s="3">
        <f>SUM(C249:X249)</f>
        <v>0</v>
      </c>
    </row>
    <row r="250" spans="1:26">
      <c r="A250" s="1" t="s">
        <v>151</v>
      </c>
      <c r="B250" s="2" t="s">
        <v>26</v>
      </c>
      <c r="C250" s="2">
        <v>172173</v>
      </c>
      <c r="D250" s="2">
        <v>47864</v>
      </c>
      <c r="E250" s="2">
        <v>9763</v>
      </c>
      <c r="F250" s="2"/>
      <c r="G250" s="2"/>
      <c r="H250" s="2"/>
      <c r="I250" s="2"/>
      <c r="J250" s="2"/>
      <c r="K250" s="2"/>
      <c r="L250" s="2"/>
      <c r="M250" s="2">
        <v>36900</v>
      </c>
      <c r="N250" s="2">
        <v>50644</v>
      </c>
      <c r="O250" s="2"/>
      <c r="P250" s="2">
        <v>4100</v>
      </c>
      <c r="Q250" s="2">
        <v>41459</v>
      </c>
      <c r="R250" s="2">
        <v>4922</v>
      </c>
      <c r="S250" s="2">
        <v>2548</v>
      </c>
      <c r="T250" s="2">
        <v>5873</v>
      </c>
      <c r="U250" s="2">
        <v>15316</v>
      </c>
      <c r="V250" s="2">
        <v>7872</v>
      </c>
      <c r="W250" s="2"/>
      <c r="X250" s="2"/>
      <c r="Y250" s="2">
        <v>63019</v>
      </c>
      <c r="Z250" s="2">
        <f>SUM(C250:X250)</f>
        <v>0</v>
      </c>
    </row>
    <row r="251" spans="1:26">
      <c r="A251" s="1"/>
      <c r="B251" s="3" t="s">
        <v>27</v>
      </c>
      <c r="C251" s="3">
        <v>19745.12779384473</v>
      </c>
      <c r="D251" s="3">
        <v>8244.070000000002</v>
      </c>
      <c r="E251" s="3">
        <v>4836.7748</v>
      </c>
      <c r="F251" s="3"/>
      <c r="G251" s="3"/>
      <c r="H251" s="3"/>
      <c r="I251" s="3"/>
      <c r="J251" s="3"/>
      <c r="K251" s="3"/>
      <c r="L251" s="3"/>
      <c r="M251" s="3">
        <v>5067.515000000001</v>
      </c>
      <c r="N251" s="3">
        <v>2805.044</v>
      </c>
      <c r="O251" s="3"/>
      <c r="P251" s="3">
        <v>680.75</v>
      </c>
      <c r="Q251" s="3">
        <v>3819.404800000001</v>
      </c>
      <c r="R251" s="3">
        <v>823.35</v>
      </c>
      <c r="S251" s="3">
        <v>355.01</v>
      </c>
      <c r="T251" s="3">
        <v>846.5550000000001</v>
      </c>
      <c r="U251" s="3">
        <v>2034.4198</v>
      </c>
      <c r="V251" s="3">
        <v>2451.86</v>
      </c>
      <c r="W251" s="3"/>
      <c r="X251" s="3"/>
      <c r="Y251" s="3">
        <v>3916.389500000001</v>
      </c>
      <c r="Z251" s="3">
        <f>SUM(C251:X251)</f>
        <v>0</v>
      </c>
    </row>
    <row r="252" spans="1:26">
      <c r="A252" s="1" t="s">
        <v>152</v>
      </c>
      <c r="B252" s="2" t="s">
        <v>26</v>
      </c>
      <c r="C252" s="2">
        <v>186855</v>
      </c>
      <c r="D252" s="2">
        <v>41746</v>
      </c>
      <c r="E252" s="2">
        <v>7326</v>
      </c>
      <c r="F252" s="2"/>
      <c r="G252" s="2"/>
      <c r="H252" s="2"/>
      <c r="I252" s="2"/>
      <c r="J252" s="2"/>
      <c r="K252" s="2"/>
      <c r="L252" s="2"/>
      <c r="M252" s="2">
        <v>36716</v>
      </c>
      <c r="N252" s="2">
        <v>72690</v>
      </c>
      <c r="O252" s="2"/>
      <c r="P252" s="2">
        <v>8053</v>
      </c>
      <c r="Q252" s="2">
        <v>50650</v>
      </c>
      <c r="R252" s="2">
        <v>5473</v>
      </c>
      <c r="S252" s="2">
        <v>2156</v>
      </c>
      <c r="T252" s="2">
        <v>7708</v>
      </c>
      <c r="U252" s="2">
        <v>18947</v>
      </c>
      <c r="V252" s="2">
        <v>4633</v>
      </c>
      <c r="W252" s="2"/>
      <c r="X252" s="2"/>
      <c r="Y252" s="2">
        <v>84011</v>
      </c>
      <c r="Z252" s="2">
        <f>SUM(C252:X252)</f>
        <v>0</v>
      </c>
    </row>
    <row r="253" spans="1:26">
      <c r="A253" s="1"/>
      <c r="B253" s="3" t="s">
        <v>27</v>
      </c>
      <c r="C253" s="3">
        <v>20613.47285634124</v>
      </c>
      <c r="D253" s="3">
        <v>7559.625</v>
      </c>
      <c r="E253" s="3">
        <v>3361.168799999999</v>
      </c>
      <c r="F253" s="3"/>
      <c r="G253" s="3"/>
      <c r="H253" s="3"/>
      <c r="I253" s="3"/>
      <c r="J253" s="3"/>
      <c r="K253" s="3"/>
      <c r="L253" s="3"/>
      <c r="M253" s="3">
        <v>5236.775</v>
      </c>
      <c r="N253" s="3">
        <v>3490.377199999999</v>
      </c>
      <c r="O253" s="3"/>
      <c r="P253" s="3">
        <v>1278.16</v>
      </c>
      <c r="Q253" s="3">
        <v>4205.592100000001</v>
      </c>
      <c r="R253" s="3">
        <v>820.9499999999999</v>
      </c>
      <c r="S253" s="3">
        <v>301.84</v>
      </c>
      <c r="T253" s="3">
        <v>1087.64</v>
      </c>
      <c r="U253" s="3">
        <v>2375.0482</v>
      </c>
      <c r="V253" s="3">
        <v>1254.48</v>
      </c>
      <c r="W253" s="3"/>
      <c r="X253" s="3"/>
      <c r="Y253" s="3">
        <v>5005.311500000003</v>
      </c>
      <c r="Z253" s="3">
        <f>SUM(C253:X253)</f>
        <v>0</v>
      </c>
    </row>
    <row r="254" spans="1:26">
      <c r="A254" s="1" t="s">
        <v>153</v>
      </c>
      <c r="B254" s="2" t="s">
        <v>26</v>
      </c>
      <c r="C254" s="2">
        <v>229193</v>
      </c>
      <c r="D254" s="2">
        <v>24084</v>
      </c>
      <c r="E254" s="2">
        <v>4945</v>
      </c>
      <c r="F254" s="2">
        <v>1338</v>
      </c>
      <c r="G254" s="2"/>
      <c r="H254" s="2"/>
      <c r="I254" s="2"/>
      <c r="J254" s="2"/>
      <c r="K254" s="2"/>
      <c r="L254" s="2"/>
      <c r="M254" s="2">
        <v>30271</v>
      </c>
      <c r="N254" s="2">
        <v>82426</v>
      </c>
      <c r="O254" s="2"/>
      <c r="P254" s="2">
        <v>5117</v>
      </c>
      <c r="Q254" s="2">
        <v>48579</v>
      </c>
      <c r="R254" s="2">
        <v>11293</v>
      </c>
      <c r="S254" s="2">
        <v>3948</v>
      </c>
      <c r="T254" s="2">
        <v>3700</v>
      </c>
      <c r="U254" s="2">
        <v>19687</v>
      </c>
      <c r="V254" s="2">
        <v>878</v>
      </c>
      <c r="W254" s="2"/>
      <c r="X254" s="2"/>
      <c r="Y254" s="2">
        <v>33013</v>
      </c>
      <c r="Z254" s="2">
        <f>SUM(C254:X254)</f>
        <v>0</v>
      </c>
    </row>
    <row r="255" spans="1:26">
      <c r="A255" s="1"/>
      <c r="B255" s="3" t="s">
        <v>27</v>
      </c>
      <c r="C255" s="3">
        <v>24969.283</v>
      </c>
      <c r="D255" s="3">
        <v>4509.7406</v>
      </c>
      <c r="E255" s="3">
        <v>2272.2394</v>
      </c>
      <c r="F255" s="3">
        <v>830.0630000000001</v>
      </c>
      <c r="G255" s="3"/>
      <c r="H255" s="3"/>
      <c r="I255" s="3"/>
      <c r="J255" s="3"/>
      <c r="K255" s="3"/>
      <c r="L255" s="3"/>
      <c r="M255" s="3">
        <v>4313.496</v>
      </c>
      <c r="N255" s="3">
        <v>3444.1296</v>
      </c>
      <c r="O255" s="3"/>
      <c r="P255" s="3">
        <v>756.8100000000001</v>
      </c>
      <c r="Q255" s="3">
        <v>4117.215399999999</v>
      </c>
      <c r="R255" s="3">
        <v>2265.94</v>
      </c>
      <c r="S255" s="3">
        <v>420.57</v>
      </c>
      <c r="T255" s="3">
        <v>526.13</v>
      </c>
      <c r="U255" s="3">
        <v>2508.459699999999</v>
      </c>
      <c r="V255" s="3">
        <v>259.35</v>
      </c>
      <c r="W255" s="3"/>
      <c r="X255" s="3"/>
      <c r="Y255" s="3">
        <v>4457.772500000001</v>
      </c>
      <c r="Z255" s="3">
        <f>SUM(C255:X255)</f>
        <v>0</v>
      </c>
    </row>
    <row r="256" spans="1:26">
      <c r="A256" s="1" t="s">
        <v>154</v>
      </c>
      <c r="B256" s="2" t="s">
        <v>26</v>
      </c>
      <c r="C256" s="2">
        <v>274196</v>
      </c>
      <c r="D256" s="2">
        <v>42707</v>
      </c>
      <c r="E256" s="2"/>
      <c r="F256" s="2">
        <v>123</v>
      </c>
      <c r="G256" s="2"/>
      <c r="H256" s="2"/>
      <c r="I256" s="2"/>
      <c r="J256" s="2"/>
      <c r="K256" s="2"/>
      <c r="L256" s="2"/>
      <c r="M256" s="2">
        <v>34364</v>
      </c>
      <c r="N256" s="2">
        <v>49542</v>
      </c>
      <c r="O256" s="2"/>
      <c r="P256" s="2"/>
      <c r="Q256" s="2">
        <v>64103</v>
      </c>
      <c r="R256" s="2">
        <v>8315</v>
      </c>
      <c r="S256" s="2">
        <v>2100</v>
      </c>
      <c r="T256" s="2"/>
      <c r="U256" s="2">
        <v>9709</v>
      </c>
      <c r="V256" s="2">
        <v>105</v>
      </c>
      <c r="W256" s="2"/>
      <c r="X256" s="2"/>
      <c r="Y256" s="2">
        <v>8771</v>
      </c>
      <c r="Z256" s="2">
        <f>SUM(C256:X256)</f>
        <v>0</v>
      </c>
    </row>
    <row r="257" spans="1:26">
      <c r="A257" s="1"/>
      <c r="B257" s="3" t="s">
        <v>27</v>
      </c>
      <c r="C257" s="3">
        <v>30922.65430000001</v>
      </c>
      <c r="D257" s="3">
        <v>7576.334999999998</v>
      </c>
      <c r="E257" s="3"/>
      <c r="F257" s="3">
        <v>77.85899999999999</v>
      </c>
      <c r="G257" s="3"/>
      <c r="H257" s="3"/>
      <c r="I257" s="3"/>
      <c r="J257" s="3"/>
      <c r="K257" s="3"/>
      <c r="L257" s="3"/>
      <c r="M257" s="3">
        <v>4984.586800000001</v>
      </c>
      <c r="N257" s="3">
        <v>2862.9142</v>
      </c>
      <c r="O257" s="3"/>
      <c r="P257" s="3"/>
      <c r="Q257" s="3">
        <v>4996.881399999999</v>
      </c>
      <c r="R257" s="3">
        <v>3165.27</v>
      </c>
      <c r="S257" s="3">
        <v>162.75</v>
      </c>
      <c r="T257" s="3"/>
      <c r="U257" s="3">
        <v>1152.3236</v>
      </c>
      <c r="V257" s="3">
        <v>37.8</v>
      </c>
      <c r="W257" s="3"/>
      <c r="X257" s="3"/>
      <c r="Y257" s="3">
        <v>1219.272</v>
      </c>
      <c r="Z257" s="3">
        <f>SUM(C257:X257)</f>
        <v>0</v>
      </c>
    </row>
    <row r="258" spans="1:26">
      <c r="A258" s="1" t="s">
        <v>155</v>
      </c>
      <c r="B258" s="2" t="s">
        <v>26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>
        <f>SUM(C258:X258)</f>
        <v>0</v>
      </c>
    </row>
    <row r="259" spans="1:26">
      <c r="A259" s="1"/>
      <c r="B259" s="3" t="s">
        <v>27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f>SUM(C259:X259)</f>
        <v>0</v>
      </c>
    </row>
    <row r="260" spans="1:26">
      <c r="A260" s="1" t="s">
        <v>156</v>
      </c>
      <c r="B260" s="2" t="s">
        <v>26</v>
      </c>
      <c r="C260" s="2">
        <v>88667</v>
      </c>
      <c r="D260" s="2">
        <v>22164</v>
      </c>
      <c r="E260" s="2">
        <v>5193</v>
      </c>
      <c r="F260" s="2">
        <v>1149</v>
      </c>
      <c r="G260" s="2"/>
      <c r="H260" s="2"/>
      <c r="I260" s="2"/>
      <c r="J260" s="2"/>
      <c r="K260" s="2"/>
      <c r="L260" s="2"/>
      <c r="M260" s="2">
        <v>40528</v>
      </c>
      <c r="N260" s="2">
        <v>68620</v>
      </c>
      <c r="O260" s="2"/>
      <c r="P260" s="2"/>
      <c r="Q260" s="2">
        <v>38163</v>
      </c>
      <c r="R260" s="2">
        <v>9840</v>
      </c>
      <c r="S260" s="2"/>
      <c r="T260" s="2"/>
      <c r="U260" s="2">
        <v>11414</v>
      </c>
      <c r="V260" s="2">
        <v>7133</v>
      </c>
      <c r="W260" s="2"/>
      <c r="X260" s="2"/>
      <c r="Y260" s="2">
        <v>6744</v>
      </c>
      <c r="Z260" s="2">
        <f>SUM(C260:X260)</f>
        <v>0</v>
      </c>
    </row>
    <row r="261" spans="1:26">
      <c r="A261" s="1"/>
      <c r="B261" s="3" t="s">
        <v>27</v>
      </c>
      <c r="C261" s="3">
        <v>9430.1486</v>
      </c>
      <c r="D261" s="3">
        <v>3910.8055</v>
      </c>
      <c r="E261" s="3">
        <v>2373.3678</v>
      </c>
      <c r="F261" s="3">
        <v>714.2969999999999</v>
      </c>
      <c r="G261" s="3"/>
      <c r="H261" s="3"/>
      <c r="I261" s="3"/>
      <c r="J261" s="3"/>
      <c r="K261" s="3"/>
      <c r="L261" s="3"/>
      <c r="M261" s="3">
        <v>5785.112800000001</v>
      </c>
      <c r="N261" s="3">
        <v>3691.6297</v>
      </c>
      <c r="O261" s="3"/>
      <c r="P261" s="3"/>
      <c r="Q261" s="3">
        <v>3234.8275</v>
      </c>
      <c r="R261" s="3">
        <v>2511.45</v>
      </c>
      <c r="S261" s="3"/>
      <c r="T261" s="3"/>
      <c r="U261" s="3">
        <v>1381.7047</v>
      </c>
      <c r="V261" s="3">
        <v>2176.52</v>
      </c>
      <c r="W261" s="3"/>
      <c r="X261" s="3"/>
      <c r="Y261" s="3">
        <v>277.93</v>
      </c>
      <c r="Z261" s="3">
        <f>SUM(C261:X261)</f>
        <v>0</v>
      </c>
    </row>
    <row r="262" spans="1:26">
      <c r="A262" s="1" t="s">
        <v>157</v>
      </c>
      <c r="B262" s="2" t="s">
        <v>26</v>
      </c>
      <c r="C262" s="2">
        <v>54320</v>
      </c>
      <c r="D262" s="2">
        <v>769</v>
      </c>
      <c r="E262" s="2">
        <v>1905</v>
      </c>
      <c r="F262" s="2"/>
      <c r="G262" s="2"/>
      <c r="H262" s="2"/>
      <c r="I262" s="2"/>
      <c r="J262" s="2"/>
      <c r="K262" s="2"/>
      <c r="L262" s="2"/>
      <c r="M262" s="2">
        <v>40784</v>
      </c>
      <c r="N262" s="2">
        <v>87589</v>
      </c>
      <c r="O262" s="2"/>
      <c r="P262" s="2"/>
      <c r="Q262" s="2">
        <v>39132</v>
      </c>
      <c r="R262" s="2">
        <v>7963</v>
      </c>
      <c r="S262" s="2">
        <v>869</v>
      </c>
      <c r="T262" s="2"/>
      <c r="U262" s="2">
        <v>7491</v>
      </c>
      <c r="V262" s="2">
        <v>3890</v>
      </c>
      <c r="W262" s="2"/>
      <c r="X262" s="2"/>
      <c r="Y262" s="2">
        <v>16200</v>
      </c>
      <c r="Z262" s="2">
        <f>SUM(C262:X262)</f>
        <v>0</v>
      </c>
    </row>
    <row r="263" spans="1:26">
      <c r="A263" s="1"/>
      <c r="B263" s="3" t="s">
        <v>27</v>
      </c>
      <c r="C263" s="3">
        <v>5421.706299999999</v>
      </c>
      <c r="D263" s="3">
        <v>199.0695</v>
      </c>
      <c r="E263" s="3">
        <v>833.0991999999998</v>
      </c>
      <c r="F263" s="3"/>
      <c r="G263" s="3"/>
      <c r="H263" s="3"/>
      <c r="I263" s="3"/>
      <c r="J263" s="3"/>
      <c r="K263" s="3"/>
      <c r="L263" s="3"/>
      <c r="M263" s="3">
        <v>5810.312600000004</v>
      </c>
      <c r="N263" s="3">
        <v>3836.6421</v>
      </c>
      <c r="O263" s="3"/>
      <c r="P263" s="3"/>
      <c r="Q263" s="3">
        <v>2793.2336</v>
      </c>
      <c r="R263" s="3">
        <v>1780.69</v>
      </c>
      <c r="S263" s="3">
        <v>111.86</v>
      </c>
      <c r="T263" s="3"/>
      <c r="U263" s="3">
        <v>1044.7574</v>
      </c>
      <c r="V263" s="3">
        <v>1048.99</v>
      </c>
      <c r="W263" s="3"/>
      <c r="X263" s="3"/>
      <c r="Y263" s="3">
        <v>808.35</v>
      </c>
      <c r="Z263" s="3">
        <f>SUM(C263:X263)</f>
        <v>0</v>
      </c>
    </row>
    <row r="264" spans="1:26">
      <c r="A264" s="1" t="s">
        <v>158</v>
      </c>
      <c r="B264" s="2" t="s">
        <v>26</v>
      </c>
      <c r="C264" s="2">
        <v>306629</v>
      </c>
      <c r="D264" s="2">
        <v>460</v>
      </c>
      <c r="E264" s="2">
        <v>8250</v>
      </c>
      <c r="F264" s="2"/>
      <c r="G264" s="2"/>
      <c r="H264" s="2"/>
      <c r="I264" s="2"/>
      <c r="J264" s="2"/>
      <c r="K264" s="2"/>
      <c r="L264" s="2"/>
      <c r="M264" s="2">
        <v>29153</v>
      </c>
      <c r="N264" s="2">
        <v>104326</v>
      </c>
      <c r="O264" s="2"/>
      <c r="P264" s="2">
        <v>988</v>
      </c>
      <c r="Q264" s="2">
        <v>18323</v>
      </c>
      <c r="R264" s="2">
        <v>6111</v>
      </c>
      <c r="S264" s="2">
        <v>2571</v>
      </c>
      <c r="T264" s="2"/>
      <c r="U264" s="2">
        <v>11081</v>
      </c>
      <c r="V264" s="2">
        <v>3763</v>
      </c>
      <c r="W264" s="2"/>
      <c r="X264" s="2"/>
      <c r="Y264" s="2">
        <v>3479</v>
      </c>
      <c r="Z264" s="2">
        <f>SUM(C264:X264)</f>
        <v>0</v>
      </c>
    </row>
    <row r="265" spans="1:26">
      <c r="A265" s="1"/>
      <c r="B265" s="3" t="s">
        <v>27</v>
      </c>
      <c r="C265" s="3">
        <v>32346.31020000018</v>
      </c>
      <c r="D265" s="3">
        <v>119.6</v>
      </c>
      <c r="E265" s="3">
        <v>4611.578399999999</v>
      </c>
      <c r="F265" s="3"/>
      <c r="G265" s="3"/>
      <c r="H265" s="3"/>
      <c r="I265" s="3"/>
      <c r="J265" s="3"/>
      <c r="K265" s="3"/>
      <c r="L265" s="3"/>
      <c r="M265" s="3">
        <v>4081.186800000001</v>
      </c>
      <c r="N265" s="3">
        <v>5993.791900000001</v>
      </c>
      <c r="O265" s="3"/>
      <c r="P265" s="3">
        <v>321.1</v>
      </c>
      <c r="Q265" s="3">
        <v>2117.9169</v>
      </c>
      <c r="R265" s="3">
        <v>1071.15</v>
      </c>
      <c r="S265" s="3">
        <v>257.1</v>
      </c>
      <c r="T265" s="3"/>
      <c r="U265" s="3">
        <v>1553.5958</v>
      </c>
      <c r="V265" s="3">
        <v>1094.66</v>
      </c>
      <c r="W265" s="3"/>
      <c r="X265" s="3"/>
      <c r="Y265" s="3">
        <v>226.12</v>
      </c>
      <c r="Z265" s="3">
        <f>SUM(C265:X265)</f>
        <v>0</v>
      </c>
    </row>
    <row r="266" spans="1:26">
      <c r="A266" s="1" t="s">
        <v>159</v>
      </c>
      <c r="B266" s="2" t="s">
        <v>26</v>
      </c>
      <c r="C266" s="2">
        <v>302427</v>
      </c>
      <c r="D266" s="2">
        <v>460</v>
      </c>
      <c r="E266" s="2">
        <v>6733</v>
      </c>
      <c r="F266" s="2"/>
      <c r="G266" s="2"/>
      <c r="H266" s="2"/>
      <c r="I266" s="2"/>
      <c r="J266" s="2"/>
      <c r="K266" s="2"/>
      <c r="L266" s="2"/>
      <c r="M266" s="2">
        <v>30257</v>
      </c>
      <c r="N266" s="2">
        <v>87002</v>
      </c>
      <c r="O266" s="2"/>
      <c r="P266" s="2">
        <v>7755</v>
      </c>
      <c r="Q266" s="2">
        <v>20276</v>
      </c>
      <c r="R266" s="2">
        <v>5670</v>
      </c>
      <c r="S266" s="2"/>
      <c r="T266" s="2">
        <v>3406</v>
      </c>
      <c r="U266" s="2">
        <v>229</v>
      </c>
      <c r="V266" s="2">
        <v>3081</v>
      </c>
      <c r="W266" s="2"/>
      <c r="X266" s="2"/>
      <c r="Y266" s="2">
        <v>56242</v>
      </c>
      <c r="Z266" s="2">
        <f>SUM(C266:X266)</f>
        <v>0</v>
      </c>
    </row>
    <row r="267" spans="1:26">
      <c r="A267" s="1"/>
      <c r="B267" s="3" t="s">
        <v>27</v>
      </c>
      <c r="C267" s="3">
        <v>32982.04339999999</v>
      </c>
      <c r="D267" s="3">
        <v>119.6</v>
      </c>
      <c r="E267" s="3">
        <v>3380.453</v>
      </c>
      <c r="F267" s="3"/>
      <c r="G267" s="3"/>
      <c r="H267" s="3"/>
      <c r="I267" s="3"/>
      <c r="J267" s="3"/>
      <c r="K267" s="3"/>
      <c r="L267" s="3"/>
      <c r="M267" s="3">
        <v>4231.9058</v>
      </c>
      <c r="N267" s="3">
        <v>4360.361449999999</v>
      </c>
      <c r="O267" s="3"/>
      <c r="P267" s="3">
        <v>1506.17</v>
      </c>
      <c r="Q267" s="3">
        <v>1501.0033</v>
      </c>
      <c r="R267" s="3">
        <v>1180.0225</v>
      </c>
      <c r="S267" s="3"/>
      <c r="T267" s="3">
        <v>493.87</v>
      </c>
      <c r="U267" s="3">
        <v>32.06</v>
      </c>
      <c r="V267" s="3">
        <v>830.135</v>
      </c>
      <c r="W267" s="3"/>
      <c r="X267" s="3"/>
      <c r="Y267" s="3">
        <v>2413.96</v>
      </c>
      <c r="Z267" s="3">
        <f>SUM(C267:X267)</f>
        <v>0</v>
      </c>
    </row>
    <row r="268" spans="1:26">
      <c r="A268" s="1" t="s">
        <v>160</v>
      </c>
      <c r="B268" s="2" t="s">
        <v>26</v>
      </c>
      <c r="C268" s="2">
        <v>290691</v>
      </c>
      <c r="D268" s="2"/>
      <c r="E268" s="2">
        <v>5481</v>
      </c>
      <c r="F268" s="2"/>
      <c r="G268" s="2"/>
      <c r="H268" s="2"/>
      <c r="I268" s="2"/>
      <c r="J268" s="2"/>
      <c r="K268" s="2"/>
      <c r="L268" s="2"/>
      <c r="M268" s="2">
        <v>30872</v>
      </c>
      <c r="N268" s="2">
        <v>60056</v>
      </c>
      <c r="O268" s="2"/>
      <c r="P268" s="2">
        <v>7750</v>
      </c>
      <c r="Q268" s="2">
        <v>24797</v>
      </c>
      <c r="R268" s="2">
        <v>7193</v>
      </c>
      <c r="S268" s="2">
        <v>361</v>
      </c>
      <c r="T268" s="2">
        <v>5327</v>
      </c>
      <c r="U268" s="2">
        <v>6454</v>
      </c>
      <c r="V268" s="2">
        <v>5498</v>
      </c>
      <c r="W268" s="2"/>
      <c r="X268" s="2"/>
      <c r="Y268" s="2">
        <v>70283</v>
      </c>
      <c r="Z268" s="2">
        <f>SUM(C268:X268)</f>
        <v>0</v>
      </c>
    </row>
    <row r="269" spans="1:26">
      <c r="A269" s="1"/>
      <c r="B269" s="3" t="s">
        <v>27</v>
      </c>
      <c r="C269" s="3">
        <v>31524.90730000001</v>
      </c>
      <c r="D269" s="3"/>
      <c r="E269" s="3">
        <v>2942.1648</v>
      </c>
      <c r="F269" s="3"/>
      <c r="G269" s="3"/>
      <c r="H269" s="3"/>
      <c r="I269" s="3"/>
      <c r="J269" s="3"/>
      <c r="K269" s="3"/>
      <c r="L269" s="3"/>
      <c r="M269" s="3">
        <v>4302.288600000001</v>
      </c>
      <c r="N269" s="3">
        <v>3573.76815</v>
      </c>
      <c r="O269" s="3"/>
      <c r="P269" s="3">
        <v>1526.535</v>
      </c>
      <c r="Q269" s="3">
        <v>1771.8219</v>
      </c>
      <c r="R269" s="3">
        <v>1534.2684</v>
      </c>
      <c r="S269" s="3">
        <v>46.93</v>
      </c>
      <c r="T269" s="3">
        <v>772.4149999999998</v>
      </c>
      <c r="U269" s="3">
        <v>1194.98</v>
      </c>
      <c r="V269" s="3">
        <v>1460.53</v>
      </c>
      <c r="W269" s="3"/>
      <c r="X269" s="3"/>
      <c r="Y269" s="3">
        <v>4608.513</v>
      </c>
      <c r="Z269" s="3">
        <f>SUM(C269:X269)</f>
        <v>0</v>
      </c>
    </row>
    <row r="270" spans="1:26">
      <c r="A270" s="1" t="s">
        <v>161</v>
      </c>
      <c r="B270" s="2" t="s">
        <v>26</v>
      </c>
      <c r="C270" s="2">
        <v>290038</v>
      </c>
      <c r="D270" s="2"/>
      <c r="E270" s="2">
        <v>6968</v>
      </c>
      <c r="F270" s="2"/>
      <c r="G270" s="2"/>
      <c r="H270" s="2"/>
      <c r="I270" s="2"/>
      <c r="J270" s="2"/>
      <c r="K270" s="2"/>
      <c r="L270" s="2"/>
      <c r="M270" s="2">
        <v>30561</v>
      </c>
      <c r="N270" s="2">
        <v>50081</v>
      </c>
      <c r="O270" s="2"/>
      <c r="P270" s="2">
        <v>6440</v>
      </c>
      <c r="Q270" s="2">
        <v>28235</v>
      </c>
      <c r="R270" s="2">
        <v>7287</v>
      </c>
      <c r="S270" s="2"/>
      <c r="T270" s="2">
        <v>1541</v>
      </c>
      <c r="U270" s="2">
        <v>7033</v>
      </c>
      <c r="V270" s="2">
        <v>10078</v>
      </c>
      <c r="W270" s="2"/>
      <c r="X270" s="2"/>
      <c r="Y270" s="2">
        <v>41511</v>
      </c>
      <c r="Z270" s="2">
        <f>SUM(C270:X270)</f>
        <v>0</v>
      </c>
    </row>
    <row r="271" spans="1:26">
      <c r="A271" s="1"/>
      <c r="B271" s="3" t="s">
        <v>27</v>
      </c>
      <c r="C271" s="3">
        <v>30511.52400000001</v>
      </c>
      <c r="D271" s="3"/>
      <c r="E271" s="3">
        <v>3831.5824</v>
      </c>
      <c r="F271" s="3"/>
      <c r="G271" s="3"/>
      <c r="H271" s="3"/>
      <c r="I271" s="3"/>
      <c r="J271" s="3"/>
      <c r="K271" s="3"/>
      <c r="L271" s="3"/>
      <c r="M271" s="3">
        <v>4301.79</v>
      </c>
      <c r="N271" s="3">
        <v>2929.792622777557</v>
      </c>
      <c r="O271" s="3"/>
      <c r="P271" s="3">
        <v>990.9100000000001</v>
      </c>
      <c r="Q271" s="3">
        <v>2094.505</v>
      </c>
      <c r="R271" s="3">
        <v>1231.9014</v>
      </c>
      <c r="S271" s="3"/>
      <c r="T271" s="3">
        <v>223.445</v>
      </c>
      <c r="U271" s="3">
        <v>988.9105000000001</v>
      </c>
      <c r="V271" s="3">
        <v>2623.936034312</v>
      </c>
      <c r="W271" s="3"/>
      <c r="X271" s="3"/>
      <c r="Y271" s="3">
        <v>3531.422</v>
      </c>
      <c r="Z271" s="3">
        <f>SUM(C271:X271)</f>
        <v>0</v>
      </c>
    </row>
    <row r="272" spans="1:26">
      <c r="A272" s="1" t="s">
        <v>162</v>
      </c>
      <c r="B272" s="2" t="s">
        <v>26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>
        <f>SUM(C272:X272)</f>
        <v>0</v>
      </c>
    </row>
    <row r="273" spans="1:26">
      <c r="A273" s="1"/>
      <c r="B273" s="3" t="s">
        <v>27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f>SUM(C273:X273)</f>
        <v>0</v>
      </c>
    </row>
    <row r="274" spans="1:26">
      <c r="A274" s="1" t="s">
        <v>163</v>
      </c>
      <c r="B274" s="2" t="s">
        <v>26</v>
      </c>
      <c r="C274" s="2">
        <v>324939</v>
      </c>
      <c r="D274" s="2">
        <v>3518</v>
      </c>
      <c r="E274" s="2">
        <v>3228</v>
      </c>
      <c r="F274" s="2"/>
      <c r="G274" s="2"/>
      <c r="H274" s="2"/>
      <c r="I274" s="2"/>
      <c r="J274" s="2"/>
      <c r="K274" s="2"/>
      <c r="L274" s="2"/>
      <c r="M274" s="2">
        <v>30399</v>
      </c>
      <c r="N274" s="2">
        <v>31172</v>
      </c>
      <c r="O274" s="2"/>
      <c r="P274" s="2">
        <v>9264</v>
      </c>
      <c r="Q274" s="2">
        <v>30794</v>
      </c>
      <c r="R274" s="2">
        <v>6998</v>
      </c>
      <c r="S274" s="2"/>
      <c r="T274" s="2">
        <v>5244</v>
      </c>
      <c r="U274" s="2">
        <v>4147</v>
      </c>
      <c r="V274" s="2">
        <v>8017</v>
      </c>
      <c r="W274" s="2"/>
      <c r="X274" s="2"/>
      <c r="Y274" s="2">
        <v>43991</v>
      </c>
      <c r="Z274" s="2">
        <f>SUM(C274:X274)</f>
        <v>0</v>
      </c>
    </row>
    <row r="275" spans="1:26">
      <c r="A275" s="1"/>
      <c r="B275" s="3" t="s">
        <v>27</v>
      </c>
      <c r="C275" s="3">
        <v>33906.5888</v>
      </c>
      <c r="D275" s="3">
        <v>607.88</v>
      </c>
      <c r="E275" s="3">
        <v>1492.2594</v>
      </c>
      <c r="F275" s="3"/>
      <c r="G275" s="3"/>
      <c r="H275" s="3"/>
      <c r="I275" s="3"/>
      <c r="J275" s="3"/>
      <c r="K275" s="3"/>
      <c r="L275" s="3"/>
      <c r="M275" s="3">
        <v>4302.1302</v>
      </c>
      <c r="N275" s="3">
        <v>2240.179300000001</v>
      </c>
      <c r="O275" s="3"/>
      <c r="P275" s="3">
        <v>1147.84</v>
      </c>
      <c r="Q275" s="3">
        <v>2592.8677</v>
      </c>
      <c r="R275" s="3">
        <v>1176.234</v>
      </c>
      <c r="S275" s="3"/>
      <c r="T275" s="3">
        <v>720.1763999999999</v>
      </c>
      <c r="U275" s="3">
        <v>571.9</v>
      </c>
      <c r="V275" s="3">
        <v>2025.921821705</v>
      </c>
      <c r="W275" s="3"/>
      <c r="X275" s="3"/>
      <c r="Y275" s="3">
        <v>2351.238</v>
      </c>
      <c r="Z275" s="3">
        <f>SUM(C275:X275)</f>
        <v>0</v>
      </c>
    </row>
    <row r="276" spans="1:26">
      <c r="A276" s="1" t="s">
        <v>164</v>
      </c>
      <c r="B276" s="2" t="s">
        <v>26</v>
      </c>
      <c r="C276" s="2">
        <v>296144</v>
      </c>
      <c r="D276" s="2">
        <v>4666</v>
      </c>
      <c r="E276" s="2">
        <v>4363</v>
      </c>
      <c r="F276" s="2"/>
      <c r="G276" s="2"/>
      <c r="H276" s="2"/>
      <c r="I276" s="2"/>
      <c r="J276" s="2"/>
      <c r="K276" s="2"/>
      <c r="L276" s="2"/>
      <c r="M276" s="2">
        <v>31185</v>
      </c>
      <c r="N276" s="2">
        <v>26153</v>
      </c>
      <c r="O276" s="2"/>
      <c r="P276" s="2">
        <v>5998</v>
      </c>
      <c r="Q276" s="2">
        <v>19713</v>
      </c>
      <c r="R276" s="2">
        <v>8200</v>
      </c>
      <c r="S276" s="2"/>
      <c r="T276" s="2">
        <v>1500</v>
      </c>
      <c r="U276" s="2">
        <v>12149</v>
      </c>
      <c r="V276" s="2">
        <v>7858</v>
      </c>
      <c r="W276" s="2"/>
      <c r="X276" s="2"/>
      <c r="Y276" s="2">
        <v>87737</v>
      </c>
      <c r="Z276" s="2">
        <f>SUM(C276:X276)</f>
        <v>0</v>
      </c>
    </row>
    <row r="277" spans="1:26">
      <c r="A277" s="1"/>
      <c r="B277" s="3" t="s">
        <v>27</v>
      </c>
      <c r="C277" s="3">
        <v>32064.4818</v>
      </c>
      <c r="D277" s="3">
        <v>746.5599999999999</v>
      </c>
      <c r="E277" s="3">
        <v>2072.4096</v>
      </c>
      <c r="F277" s="3"/>
      <c r="G277" s="3"/>
      <c r="H277" s="3"/>
      <c r="I277" s="3"/>
      <c r="J277" s="3"/>
      <c r="K277" s="3"/>
      <c r="L277" s="3"/>
      <c r="M277" s="3">
        <v>4524.170400000001</v>
      </c>
      <c r="N277" s="3">
        <v>1656.008563942148</v>
      </c>
      <c r="O277" s="3"/>
      <c r="P277" s="3">
        <v>777.76</v>
      </c>
      <c r="Q277" s="3">
        <v>1667.417</v>
      </c>
      <c r="R277" s="3">
        <v>1583.213999999999</v>
      </c>
      <c r="S277" s="3"/>
      <c r="T277" s="3">
        <v>208.43</v>
      </c>
      <c r="U277" s="3">
        <v>1643.744</v>
      </c>
      <c r="V277" s="3">
        <v>1861.859880695</v>
      </c>
      <c r="W277" s="3"/>
      <c r="X277" s="3"/>
      <c r="Y277" s="3">
        <v>3237.5405</v>
      </c>
      <c r="Z277" s="3">
        <f>SUM(C277:X277)</f>
        <v>0</v>
      </c>
    </row>
    <row r="278" spans="1:26">
      <c r="A278" s="1" t="s">
        <v>165</v>
      </c>
      <c r="B278" s="2" t="s">
        <v>26</v>
      </c>
      <c r="C278" s="2">
        <v>286416</v>
      </c>
      <c r="D278" s="2">
        <v>9606</v>
      </c>
      <c r="E278" s="2">
        <v>10219</v>
      </c>
      <c r="F278" s="2"/>
      <c r="G278" s="2"/>
      <c r="H278" s="2"/>
      <c r="I278" s="2"/>
      <c r="J278" s="2"/>
      <c r="K278" s="2"/>
      <c r="L278" s="2"/>
      <c r="M278" s="2">
        <v>30100</v>
      </c>
      <c r="N278" s="2">
        <v>42150</v>
      </c>
      <c r="O278" s="2"/>
      <c r="P278" s="2">
        <v>4006</v>
      </c>
      <c r="Q278" s="2">
        <v>8343</v>
      </c>
      <c r="R278" s="2">
        <v>8284</v>
      </c>
      <c r="S278" s="2"/>
      <c r="T278" s="2">
        <v>300</v>
      </c>
      <c r="U278" s="2">
        <v>10106</v>
      </c>
      <c r="V278" s="2">
        <v>3345</v>
      </c>
      <c r="W278" s="2"/>
      <c r="X278" s="2"/>
      <c r="Y278" s="2">
        <v>28921</v>
      </c>
      <c r="Z278" s="2">
        <f>SUM(C278:X278)</f>
        <v>0</v>
      </c>
    </row>
    <row r="279" spans="1:26">
      <c r="A279" s="1"/>
      <c r="B279" s="3" t="s">
        <v>27</v>
      </c>
      <c r="C279" s="3">
        <v>31383.70969999999</v>
      </c>
      <c r="D279" s="3">
        <v>1594.3556</v>
      </c>
      <c r="E279" s="3">
        <v>4701.869599999999</v>
      </c>
      <c r="F279" s="3"/>
      <c r="G279" s="3"/>
      <c r="H279" s="3"/>
      <c r="I279" s="3"/>
      <c r="J279" s="3"/>
      <c r="K279" s="3"/>
      <c r="L279" s="3"/>
      <c r="M279" s="3">
        <v>4637.054999999999</v>
      </c>
      <c r="N279" s="3">
        <v>1855.8437</v>
      </c>
      <c r="O279" s="3"/>
      <c r="P279" s="3">
        <v>639.5400000000001</v>
      </c>
      <c r="Q279" s="3">
        <v>657.0389</v>
      </c>
      <c r="R279" s="3">
        <v>1578.2948</v>
      </c>
      <c r="S279" s="3"/>
      <c r="T279" s="3">
        <v>43.49999999999999</v>
      </c>
      <c r="U279" s="3">
        <v>1340.352</v>
      </c>
      <c r="V279" s="3">
        <v>845.8372873979998</v>
      </c>
      <c r="W279" s="3"/>
      <c r="X279" s="3"/>
      <c r="Y279" s="3">
        <v>787.7430000000001</v>
      </c>
      <c r="Z279" s="3">
        <f>SUM(C279:X279)</f>
        <v>0</v>
      </c>
    </row>
    <row r="280" spans="1:26">
      <c r="A280" s="1" t="s">
        <v>166</v>
      </c>
      <c r="B280" s="2" t="s">
        <v>26</v>
      </c>
      <c r="C280" s="2">
        <v>269868</v>
      </c>
      <c r="D280" s="2">
        <v>8886</v>
      </c>
      <c r="E280" s="2">
        <v>10949</v>
      </c>
      <c r="F280" s="2"/>
      <c r="G280" s="2"/>
      <c r="H280" s="2"/>
      <c r="I280" s="2"/>
      <c r="J280" s="2"/>
      <c r="K280" s="2"/>
      <c r="L280" s="2"/>
      <c r="M280" s="2">
        <v>25222</v>
      </c>
      <c r="N280" s="2">
        <v>88281</v>
      </c>
      <c r="O280" s="2"/>
      <c r="P280" s="2">
        <v>3877</v>
      </c>
      <c r="Q280" s="2">
        <v>4363</v>
      </c>
      <c r="R280" s="2">
        <v>4009</v>
      </c>
      <c r="S280" s="2"/>
      <c r="T280" s="2">
        <v>3400</v>
      </c>
      <c r="U280" s="2">
        <v>4674</v>
      </c>
      <c r="V280" s="2">
        <v>5210</v>
      </c>
      <c r="W280" s="2"/>
      <c r="X280" s="2"/>
      <c r="Y280" s="2">
        <v>1657</v>
      </c>
      <c r="Z280" s="2">
        <f>SUM(C280:X280)</f>
        <v>0</v>
      </c>
    </row>
    <row r="281" spans="1:26">
      <c r="A281" s="1"/>
      <c r="B281" s="3" t="s">
        <v>27</v>
      </c>
      <c r="C281" s="3">
        <v>29598.5564</v>
      </c>
      <c r="D281" s="3">
        <v>1835.1824</v>
      </c>
      <c r="E281" s="3">
        <v>5588.919800000001</v>
      </c>
      <c r="F281" s="3"/>
      <c r="G281" s="3"/>
      <c r="H281" s="3"/>
      <c r="I281" s="3"/>
      <c r="J281" s="3"/>
      <c r="K281" s="3"/>
      <c r="L281" s="3"/>
      <c r="M281" s="3">
        <v>4008.110699999999</v>
      </c>
      <c r="N281" s="3">
        <v>4825.414195298333</v>
      </c>
      <c r="O281" s="3"/>
      <c r="P281" s="3">
        <v>536.7942</v>
      </c>
      <c r="Q281" s="3">
        <v>308.9422000000001</v>
      </c>
      <c r="R281" s="3">
        <v>904.8109999999999</v>
      </c>
      <c r="S281" s="3"/>
      <c r="T281" s="3">
        <v>568.1900000000001</v>
      </c>
      <c r="U281" s="3">
        <v>543.52</v>
      </c>
      <c r="V281" s="3">
        <v>1425.093614209</v>
      </c>
      <c r="W281" s="3"/>
      <c r="X281" s="3"/>
      <c r="Y281" s="3">
        <v>873.2065</v>
      </c>
      <c r="Z281" s="3">
        <f>SUM(C281:X281)</f>
        <v>0</v>
      </c>
    </row>
    <row r="282" spans="1:26">
      <c r="A282" s="1" t="s">
        <v>167</v>
      </c>
      <c r="B282" s="2" t="s">
        <v>26</v>
      </c>
      <c r="C282" s="2">
        <v>228875</v>
      </c>
      <c r="D282" s="2">
        <v>12678</v>
      </c>
      <c r="E282" s="2">
        <v>16334</v>
      </c>
      <c r="F282" s="2"/>
      <c r="G282" s="2"/>
      <c r="H282" s="2"/>
      <c r="I282" s="2"/>
      <c r="J282" s="2"/>
      <c r="K282" s="2"/>
      <c r="L282" s="2"/>
      <c r="M282" s="2">
        <v>10650</v>
      </c>
      <c r="N282" s="2">
        <v>120807</v>
      </c>
      <c r="O282" s="2"/>
      <c r="P282" s="2">
        <v>5573</v>
      </c>
      <c r="Q282" s="2">
        <v>4224</v>
      </c>
      <c r="R282" s="2">
        <v>641</v>
      </c>
      <c r="S282" s="2"/>
      <c r="T282" s="2">
        <v>5400</v>
      </c>
      <c r="U282" s="2">
        <v>4725</v>
      </c>
      <c r="V282" s="2">
        <v>3536</v>
      </c>
      <c r="W282" s="2"/>
      <c r="X282" s="2"/>
      <c r="Y282" s="2">
        <v>1420</v>
      </c>
      <c r="Z282" s="2">
        <f>SUM(C282:X282)</f>
        <v>0</v>
      </c>
    </row>
    <row r="283" spans="1:26">
      <c r="A283" s="1"/>
      <c r="B283" s="3" t="s">
        <v>27</v>
      </c>
      <c r="C283" s="3">
        <v>26209.1807</v>
      </c>
      <c r="D283" s="3">
        <v>3242.9</v>
      </c>
      <c r="E283" s="3">
        <v>7945.348400000002</v>
      </c>
      <c r="F283" s="3"/>
      <c r="G283" s="3"/>
      <c r="H283" s="3"/>
      <c r="I283" s="3"/>
      <c r="J283" s="3"/>
      <c r="K283" s="3"/>
      <c r="L283" s="3"/>
      <c r="M283" s="3">
        <v>1674.06</v>
      </c>
      <c r="N283" s="3">
        <v>6099.785829036349</v>
      </c>
      <c r="O283" s="3"/>
      <c r="P283" s="3">
        <v>851.327</v>
      </c>
      <c r="Q283" s="3">
        <v>426.1523</v>
      </c>
      <c r="R283" s="3">
        <v>98.754</v>
      </c>
      <c r="S283" s="3"/>
      <c r="T283" s="3">
        <v>896.5700000000001</v>
      </c>
      <c r="U283" s="3">
        <v>512.17</v>
      </c>
      <c r="V283" s="3">
        <v>938.0563613920001</v>
      </c>
      <c r="W283" s="3"/>
      <c r="X283" s="3"/>
      <c r="Y283" s="3">
        <v>1376.6</v>
      </c>
      <c r="Z283" s="3">
        <f>SUM(C283:X283)</f>
        <v>0</v>
      </c>
    </row>
    <row r="284" spans="1:26">
      <c r="A284" s="1" t="s">
        <v>168</v>
      </c>
      <c r="B284" s="2" t="s">
        <v>26</v>
      </c>
      <c r="C284" s="2">
        <v>205568</v>
      </c>
      <c r="D284" s="2">
        <v>8397</v>
      </c>
      <c r="E284" s="2">
        <v>17660</v>
      </c>
      <c r="F284" s="2"/>
      <c r="G284" s="2"/>
      <c r="H284" s="2"/>
      <c r="I284" s="2"/>
      <c r="J284" s="2"/>
      <c r="K284" s="2"/>
      <c r="L284" s="2"/>
      <c r="M284" s="2">
        <v>30468</v>
      </c>
      <c r="N284" s="2">
        <v>103369</v>
      </c>
      <c r="O284" s="2"/>
      <c r="P284" s="2">
        <v>14850</v>
      </c>
      <c r="Q284" s="2">
        <v>10292</v>
      </c>
      <c r="R284" s="2">
        <v>563</v>
      </c>
      <c r="S284" s="2"/>
      <c r="T284" s="2">
        <v>5400</v>
      </c>
      <c r="U284" s="2">
        <v>7212</v>
      </c>
      <c r="V284" s="2">
        <v>7652</v>
      </c>
      <c r="W284" s="2"/>
      <c r="X284" s="2"/>
      <c r="Y284" s="2">
        <v>50000</v>
      </c>
      <c r="Z284" s="2">
        <f>SUM(C284:X284)</f>
        <v>0</v>
      </c>
    </row>
    <row r="285" spans="1:26">
      <c r="A285" s="1"/>
      <c r="B285" s="3" t="s">
        <v>27</v>
      </c>
      <c r="C285" s="3">
        <v>24278.21130000001</v>
      </c>
      <c r="D285" s="3">
        <v>1992.4905</v>
      </c>
      <c r="E285" s="3">
        <v>8443.042199999998</v>
      </c>
      <c r="F285" s="3"/>
      <c r="G285" s="3"/>
      <c r="H285" s="3"/>
      <c r="I285" s="3"/>
      <c r="J285" s="3"/>
      <c r="K285" s="3"/>
      <c r="L285" s="3"/>
      <c r="M285" s="3">
        <v>4490.959899999999</v>
      </c>
      <c r="N285" s="3">
        <v>4707.263650000002</v>
      </c>
      <c r="O285" s="3"/>
      <c r="P285" s="3">
        <v>1961.526</v>
      </c>
      <c r="Q285" s="3">
        <v>907.5112</v>
      </c>
      <c r="R285" s="3">
        <v>84.45</v>
      </c>
      <c r="S285" s="3"/>
      <c r="T285" s="3">
        <v>892.2800000000001</v>
      </c>
      <c r="U285" s="3">
        <v>780.5360000000001</v>
      </c>
      <c r="V285" s="3">
        <v>2028.13</v>
      </c>
      <c r="W285" s="3"/>
      <c r="X285" s="3"/>
      <c r="Y285" s="3">
        <v>899.9999999999999</v>
      </c>
      <c r="Z285" s="3">
        <f>SUM(C285:X285)</f>
        <v>0</v>
      </c>
    </row>
    <row r="286" spans="1:26">
      <c r="A286" s="1" t="s">
        <v>169</v>
      </c>
      <c r="B286" s="2" t="s">
        <v>26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>
        <f>SUM(C286:X286)</f>
        <v>0</v>
      </c>
    </row>
    <row r="287" spans="1:26">
      <c r="A287" s="1"/>
      <c r="B287" s="3" t="s">
        <v>27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f>SUM(C287:X287)</f>
        <v>0</v>
      </c>
    </row>
    <row r="288" spans="1:26">
      <c r="A288" s="1" t="s">
        <v>170</v>
      </c>
      <c r="B288" s="2" t="s">
        <v>26</v>
      </c>
      <c r="C288" s="2">
        <v>141938</v>
      </c>
      <c r="D288" s="2">
        <v>10027</v>
      </c>
      <c r="E288" s="2">
        <v>20961</v>
      </c>
      <c r="F288" s="2"/>
      <c r="G288" s="2"/>
      <c r="H288" s="2"/>
      <c r="I288" s="2"/>
      <c r="J288" s="2"/>
      <c r="K288" s="2"/>
      <c r="L288" s="2"/>
      <c r="M288" s="2">
        <v>35032</v>
      </c>
      <c r="N288" s="2">
        <v>103150</v>
      </c>
      <c r="O288" s="2"/>
      <c r="P288" s="2">
        <v>25345</v>
      </c>
      <c r="Q288" s="2">
        <v>793</v>
      </c>
      <c r="R288" s="2"/>
      <c r="S288" s="2">
        <v>4600</v>
      </c>
      <c r="T288" s="2">
        <v>2100</v>
      </c>
      <c r="U288" s="2">
        <v>5753</v>
      </c>
      <c r="V288" s="2">
        <v>4790</v>
      </c>
      <c r="W288" s="2"/>
      <c r="X288" s="2"/>
      <c r="Y288" s="2">
        <v>41789</v>
      </c>
      <c r="Z288" s="2">
        <f>SUM(C288:X288)</f>
        <v>0</v>
      </c>
    </row>
    <row r="289" spans="1:26">
      <c r="A289" s="1"/>
      <c r="B289" s="3" t="s">
        <v>27</v>
      </c>
      <c r="C289" s="3">
        <v>16045.6454</v>
      </c>
      <c r="D289" s="3">
        <v>1943.1395</v>
      </c>
      <c r="E289" s="3">
        <v>10982.1153</v>
      </c>
      <c r="F289" s="3"/>
      <c r="G289" s="3"/>
      <c r="H289" s="3"/>
      <c r="I289" s="3"/>
      <c r="J289" s="3"/>
      <c r="K289" s="3"/>
      <c r="L289" s="3"/>
      <c r="M289" s="3">
        <v>5380.418700000002</v>
      </c>
      <c r="N289" s="3">
        <v>4884.68740726302</v>
      </c>
      <c r="O289" s="3"/>
      <c r="P289" s="3">
        <v>3439.358</v>
      </c>
      <c r="Q289" s="3">
        <v>52.7345</v>
      </c>
      <c r="R289" s="3"/>
      <c r="S289" s="3">
        <v>655.2</v>
      </c>
      <c r="T289" s="3">
        <v>330.95</v>
      </c>
      <c r="U289" s="3">
        <v>661.0400000000002</v>
      </c>
      <c r="V289" s="3">
        <v>1269.35</v>
      </c>
      <c r="W289" s="3"/>
      <c r="X289" s="3"/>
      <c r="Y289" s="3">
        <v>1899.945</v>
      </c>
      <c r="Z289" s="3">
        <f>SUM(C289:X289)</f>
        <v>0</v>
      </c>
    </row>
    <row r="290" spans="1:26">
      <c r="A290" s="1" t="s">
        <v>171</v>
      </c>
      <c r="B290" s="2" t="s">
        <v>26</v>
      </c>
      <c r="C290" s="2">
        <v>136127</v>
      </c>
      <c r="D290" s="2"/>
      <c r="E290" s="2">
        <v>7336</v>
      </c>
      <c r="F290" s="2"/>
      <c r="G290" s="2"/>
      <c r="H290" s="2"/>
      <c r="I290" s="2"/>
      <c r="J290" s="2"/>
      <c r="K290" s="2"/>
      <c r="L290" s="2">
        <v>440</v>
      </c>
      <c r="M290" s="2">
        <v>24417</v>
      </c>
      <c r="N290" s="2">
        <v>79635</v>
      </c>
      <c r="O290" s="2"/>
      <c r="P290" s="2">
        <v>10213</v>
      </c>
      <c r="Q290" s="2">
        <v>876</v>
      </c>
      <c r="R290" s="2">
        <v>229</v>
      </c>
      <c r="S290" s="2">
        <v>12200</v>
      </c>
      <c r="T290" s="2">
        <v>700</v>
      </c>
      <c r="U290" s="2">
        <v>3443</v>
      </c>
      <c r="V290" s="2">
        <v>6213</v>
      </c>
      <c r="W290" s="2"/>
      <c r="X290" s="2"/>
      <c r="Y290" s="2">
        <v>25287</v>
      </c>
      <c r="Z290" s="2">
        <f>SUM(C290:X290)</f>
        <v>0</v>
      </c>
    </row>
    <row r="291" spans="1:26">
      <c r="A291" s="1"/>
      <c r="B291" s="3" t="s">
        <v>27</v>
      </c>
      <c r="C291" s="3">
        <v>13957.34465</v>
      </c>
      <c r="D291" s="3"/>
      <c r="E291" s="3">
        <v>4164.1361</v>
      </c>
      <c r="F291" s="3"/>
      <c r="G291" s="3"/>
      <c r="H291" s="3"/>
      <c r="I291" s="3"/>
      <c r="J291" s="3"/>
      <c r="K291" s="3"/>
      <c r="L291" s="3">
        <v>136.4</v>
      </c>
      <c r="M291" s="3">
        <v>3816.0818</v>
      </c>
      <c r="N291" s="3">
        <v>3442.400147485612</v>
      </c>
      <c r="O291" s="3"/>
      <c r="P291" s="3">
        <v>1835.25</v>
      </c>
      <c r="Q291" s="3">
        <v>105.12</v>
      </c>
      <c r="R291" s="3">
        <v>34.34999999999999</v>
      </c>
      <c r="S291" s="3">
        <v>1682.8</v>
      </c>
      <c r="T291" s="3">
        <v>116.22</v>
      </c>
      <c r="U291" s="3">
        <v>492.04</v>
      </c>
      <c r="V291" s="3">
        <v>1628.4775</v>
      </c>
      <c r="W291" s="3"/>
      <c r="X291" s="3"/>
      <c r="Y291" s="3">
        <v>1754.91</v>
      </c>
      <c r="Z291" s="3">
        <f>SUM(C291:X291)</f>
        <v>0</v>
      </c>
    </row>
    <row r="292" spans="1:26">
      <c r="A292" s="1" t="s">
        <v>172</v>
      </c>
      <c r="B292" s="2" t="s">
        <v>26</v>
      </c>
      <c r="C292" s="2">
        <v>252086</v>
      </c>
      <c r="D292" s="2">
        <v>910</v>
      </c>
      <c r="E292" s="2">
        <v>3951</v>
      </c>
      <c r="F292" s="2"/>
      <c r="G292" s="2"/>
      <c r="H292" s="2"/>
      <c r="I292" s="2"/>
      <c r="J292" s="2"/>
      <c r="K292" s="2"/>
      <c r="L292" s="2"/>
      <c r="M292" s="2">
        <v>53074</v>
      </c>
      <c r="N292" s="2">
        <v>100500</v>
      </c>
      <c r="O292" s="2"/>
      <c r="P292" s="2">
        <v>24094</v>
      </c>
      <c r="Q292" s="2">
        <v>1326</v>
      </c>
      <c r="R292" s="2"/>
      <c r="S292" s="2">
        <v>3500</v>
      </c>
      <c r="T292" s="2"/>
      <c r="U292" s="2">
        <v>10736</v>
      </c>
      <c r="V292" s="2">
        <v>4650</v>
      </c>
      <c r="W292" s="2"/>
      <c r="X292" s="2"/>
      <c r="Y292" s="2">
        <v>125962</v>
      </c>
      <c r="Z292" s="2">
        <f>SUM(C292:X292)</f>
        <v>0</v>
      </c>
    </row>
    <row r="293" spans="1:26">
      <c r="A293" s="1"/>
      <c r="B293" s="3" t="s">
        <v>27</v>
      </c>
      <c r="C293" s="3">
        <v>26155.36719999999</v>
      </c>
      <c r="D293" s="3">
        <v>242.333</v>
      </c>
      <c r="E293" s="3">
        <v>1853.3274</v>
      </c>
      <c r="F293" s="3"/>
      <c r="G293" s="3"/>
      <c r="H293" s="3"/>
      <c r="I293" s="3"/>
      <c r="J293" s="3"/>
      <c r="K293" s="3"/>
      <c r="L293" s="3"/>
      <c r="M293" s="3">
        <v>8187.690300000004</v>
      </c>
      <c r="N293" s="3">
        <v>4237.418284197451</v>
      </c>
      <c r="O293" s="3"/>
      <c r="P293" s="3">
        <v>2950.411</v>
      </c>
      <c r="Q293" s="3">
        <v>159.12</v>
      </c>
      <c r="R293" s="3"/>
      <c r="S293" s="3">
        <v>502.7</v>
      </c>
      <c r="T293" s="3"/>
      <c r="U293" s="3">
        <v>1593.21</v>
      </c>
      <c r="V293" s="3">
        <v>1214.1075</v>
      </c>
      <c r="W293" s="3"/>
      <c r="X293" s="3"/>
      <c r="Y293" s="3">
        <v>5047.36</v>
      </c>
      <c r="Z293" s="3">
        <f>SUM(C293:X293)</f>
        <v>0</v>
      </c>
    </row>
    <row r="294" spans="1:26">
      <c r="A294" s="1" t="s">
        <v>173</v>
      </c>
      <c r="B294" s="2" t="s">
        <v>26</v>
      </c>
      <c r="C294" s="2">
        <v>279229</v>
      </c>
      <c r="D294" s="2">
        <v>16073</v>
      </c>
      <c r="E294" s="2">
        <v>1495</v>
      </c>
      <c r="F294" s="2"/>
      <c r="G294" s="2"/>
      <c r="H294" s="2"/>
      <c r="I294" s="2"/>
      <c r="J294" s="2"/>
      <c r="K294" s="2"/>
      <c r="L294" s="2"/>
      <c r="M294" s="2">
        <v>50731</v>
      </c>
      <c r="N294" s="2">
        <v>96096</v>
      </c>
      <c r="O294" s="2"/>
      <c r="P294" s="2">
        <v>15196</v>
      </c>
      <c r="Q294" s="2"/>
      <c r="R294" s="2"/>
      <c r="S294" s="2">
        <v>1300</v>
      </c>
      <c r="T294" s="2">
        <v>1900</v>
      </c>
      <c r="U294" s="2">
        <v>11065</v>
      </c>
      <c r="V294" s="2">
        <v>4640</v>
      </c>
      <c r="W294" s="2"/>
      <c r="X294" s="2"/>
      <c r="Y294" s="2">
        <v>105310</v>
      </c>
      <c r="Z294" s="2">
        <f>SUM(C294:X294)</f>
        <v>0</v>
      </c>
    </row>
    <row r="295" spans="1:26">
      <c r="A295" s="1"/>
      <c r="B295" s="3" t="s">
        <v>27</v>
      </c>
      <c r="C295" s="3">
        <v>29639.97340000001</v>
      </c>
      <c r="D295" s="3">
        <v>2816.3025</v>
      </c>
      <c r="E295" s="3">
        <v>762.3697999999999</v>
      </c>
      <c r="F295" s="3"/>
      <c r="G295" s="3"/>
      <c r="H295" s="3"/>
      <c r="I295" s="3"/>
      <c r="J295" s="3"/>
      <c r="K295" s="3"/>
      <c r="L295" s="3"/>
      <c r="M295" s="3">
        <v>7666.433799999999</v>
      </c>
      <c r="N295" s="3">
        <v>4601.263</v>
      </c>
      <c r="O295" s="3"/>
      <c r="P295" s="3">
        <v>1907.39</v>
      </c>
      <c r="Q295" s="3"/>
      <c r="R295" s="3"/>
      <c r="S295" s="3">
        <v>170.3</v>
      </c>
      <c r="T295" s="3">
        <v>305.9</v>
      </c>
      <c r="U295" s="3">
        <v>1688.4525</v>
      </c>
      <c r="V295" s="3">
        <v>1448.06</v>
      </c>
      <c r="W295" s="3"/>
      <c r="X295" s="3"/>
      <c r="Y295" s="3">
        <v>5370.3505</v>
      </c>
      <c r="Z295" s="3">
        <f>SUM(C295:X295)</f>
        <v>0</v>
      </c>
    </row>
    <row r="296" spans="1:26">
      <c r="A296" s="1" t="s">
        <v>174</v>
      </c>
      <c r="B296" s="2" t="s">
        <v>26</v>
      </c>
      <c r="C296" s="2">
        <v>292098</v>
      </c>
      <c r="D296" s="2">
        <v>9266</v>
      </c>
      <c r="E296" s="2">
        <v>1016</v>
      </c>
      <c r="F296" s="2"/>
      <c r="G296" s="2"/>
      <c r="H296" s="2"/>
      <c r="I296" s="2"/>
      <c r="J296" s="2"/>
      <c r="K296" s="2"/>
      <c r="L296" s="2"/>
      <c r="M296" s="2">
        <v>50328</v>
      </c>
      <c r="N296" s="2">
        <v>86165</v>
      </c>
      <c r="O296" s="2"/>
      <c r="P296" s="2">
        <v>17727</v>
      </c>
      <c r="Q296" s="2"/>
      <c r="R296" s="2"/>
      <c r="S296" s="2">
        <v>1370</v>
      </c>
      <c r="T296" s="2">
        <v>1800</v>
      </c>
      <c r="U296" s="2">
        <v>13430</v>
      </c>
      <c r="V296" s="2">
        <v>4547</v>
      </c>
      <c r="W296" s="2"/>
      <c r="X296" s="2"/>
      <c r="Y296" s="2">
        <v>108511</v>
      </c>
      <c r="Z296" s="2">
        <f>SUM(C296:X296)</f>
        <v>0</v>
      </c>
    </row>
    <row r="297" spans="1:26">
      <c r="A297" s="1"/>
      <c r="B297" s="3" t="s">
        <v>27</v>
      </c>
      <c r="C297" s="3">
        <v>29830.3751</v>
      </c>
      <c r="D297" s="3">
        <v>1660.845</v>
      </c>
      <c r="E297" s="3">
        <v>457.8138</v>
      </c>
      <c r="F297" s="3"/>
      <c r="G297" s="3"/>
      <c r="H297" s="3"/>
      <c r="I297" s="3"/>
      <c r="J297" s="3"/>
      <c r="K297" s="3"/>
      <c r="L297" s="3"/>
      <c r="M297" s="3">
        <v>7077.703900000001</v>
      </c>
      <c r="N297" s="3">
        <v>5023.47335</v>
      </c>
      <c r="O297" s="3"/>
      <c r="P297" s="3">
        <v>2269.775</v>
      </c>
      <c r="Q297" s="3"/>
      <c r="R297" s="3"/>
      <c r="S297" s="3">
        <v>195.45</v>
      </c>
      <c r="T297" s="3">
        <v>293.54</v>
      </c>
      <c r="U297" s="3">
        <v>1850.0095</v>
      </c>
      <c r="V297" s="3">
        <v>1399.0125</v>
      </c>
      <c r="W297" s="3"/>
      <c r="X297" s="3"/>
      <c r="Y297" s="3">
        <v>6362.462500000002</v>
      </c>
      <c r="Z297" s="3">
        <f>SUM(C297:X297)</f>
        <v>0</v>
      </c>
    </row>
    <row r="298" spans="1:26">
      <c r="A298" s="1" t="s">
        <v>175</v>
      </c>
      <c r="B298" s="2" t="s">
        <v>26</v>
      </c>
      <c r="C298" s="2">
        <v>336593</v>
      </c>
      <c r="D298" s="2">
        <v>25518</v>
      </c>
      <c r="E298" s="2">
        <v>5764</v>
      </c>
      <c r="F298" s="2"/>
      <c r="G298" s="2"/>
      <c r="H298" s="2"/>
      <c r="I298" s="2"/>
      <c r="J298" s="2"/>
      <c r="K298" s="2"/>
      <c r="L298" s="2"/>
      <c r="M298" s="2">
        <v>20016</v>
      </c>
      <c r="N298" s="2">
        <v>100998</v>
      </c>
      <c r="O298" s="2"/>
      <c r="P298" s="2">
        <v>6100</v>
      </c>
      <c r="Q298" s="2"/>
      <c r="R298" s="2"/>
      <c r="S298" s="2">
        <v>1570</v>
      </c>
      <c r="T298" s="2"/>
      <c r="U298" s="2">
        <v>2426</v>
      </c>
      <c r="V298" s="2">
        <v>3469</v>
      </c>
      <c r="W298" s="2"/>
      <c r="X298" s="2"/>
      <c r="Y298" s="2">
        <v>43421</v>
      </c>
      <c r="Z298" s="2">
        <f>SUM(C298:X298)</f>
        <v>0</v>
      </c>
    </row>
    <row r="299" spans="1:26">
      <c r="A299" s="1"/>
      <c r="B299" s="3" t="s">
        <v>27</v>
      </c>
      <c r="C299" s="3">
        <v>37240.18705000001</v>
      </c>
      <c r="D299" s="3">
        <v>4481.9475</v>
      </c>
      <c r="E299" s="3">
        <v>2623.2221</v>
      </c>
      <c r="F299" s="3"/>
      <c r="G299" s="3"/>
      <c r="H299" s="3"/>
      <c r="I299" s="3"/>
      <c r="J299" s="3"/>
      <c r="K299" s="3"/>
      <c r="L299" s="3"/>
      <c r="M299" s="3">
        <v>2870.0818</v>
      </c>
      <c r="N299" s="3">
        <v>7725.448399999999</v>
      </c>
      <c r="O299" s="3"/>
      <c r="P299" s="3">
        <v>773.2349999999999</v>
      </c>
      <c r="Q299" s="3"/>
      <c r="R299" s="3"/>
      <c r="S299" s="3">
        <v>219.47</v>
      </c>
      <c r="T299" s="3"/>
      <c r="U299" s="3">
        <v>247.344</v>
      </c>
      <c r="V299" s="3">
        <v>1072.68</v>
      </c>
      <c r="W299" s="3"/>
      <c r="X299" s="3"/>
      <c r="Y299" s="3">
        <v>3027.550499999999</v>
      </c>
      <c r="Z299" s="3">
        <f>SUM(C299:X299)</f>
        <v>0</v>
      </c>
    </row>
    <row r="300" spans="1:26">
      <c r="A300" s="1" t="s">
        <v>176</v>
      </c>
      <c r="B300" s="2" t="s">
        <v>26</v>
      </c>
      <c r="C300" s="2">
        <v>294271</v>
      </c>
      <c r="D300" s="2">
        <v>5184</v>
      </c>
      <c r="E300" s="2">
        <v>12888</v>
      </c>
      <c r="F300" s="2"/>
      <c r="G300" s="2"/>
      <c r="H300" s="2"/>
      <c r="I300" s="2"/>
      <c r="J300" s="2"/>
      <c r="K300" s="2"/>
      <c r="L300" s="2"/>
      <c r="M300" s="2">
        <v>40500</v>
      </c>
      <c r="N300" s="2">
        <v>157352</v>
      </c>
      <c r="O300" s="2"/>
      <c r="P300" s="2">
        <v>14287</v>
      </c>
      <c r="Q300" s="2"/>
      <c r="R300" s="2"/>
      <c r="S300" s="2">
        <v>5350</v>
      </c>
      <c r="T300" s="2"/>
      <c r="U300" s="2">
        <v>5474</v>
      </c>
      <c r="V300" s="2">
        <v>2285</v>
      </c>
      <c r="W300" s="2"/>
      <c r="X300" s="2"/>
      <c r="Y300" s="2">
        <v>46348</v>
      </c>
      <c r="Z300" s="2">
        <f>SUM(C300:X300)</f>
        <v>0</v>
      </c>
    </row>
    <row r="301" spans="1:26">
      <c r="A301" s="1"/>
      <c r="B301" s="3" t="s">
        <v>27</v>
      </c>
      <c r="C301" s="3">
        <v>31837.58290000002</v>
      </c>
      <c r="D301" s="3">
        <v>1451.52</v>
      </c>
      <c r="E301" s="3">
        <v>5891.8548</v>
      </c>
      <c r="F301" s="3"/>
      <c r="G301" s="3"/>
      <c r="H301" s="3"/>
      <c r="I301" s="3"/>
      <c r="J301" s="3"/>
      <c r="K301" s="3"/>
      <c r="L301" s="3"/>
      <c r="M301" s="3">
        <v>5732.705000000001</v>
      </c>
      <c r="N301" s="3">
        <v>10063.3464</v>
      </c>
      <c r="O301" s="3"/>
      <c r="P301" s="3">
        <v>1880.41</v>
      </c>
      <c r="Q301" s="3"/>
      <c r="R301" s="3"/>
      <c r="S301" s="3">
        <v>717.47</v>
      </c>
      <c r="T301" s="3"/>
      <c r="U301" s="3">
        <v>829.0864999999999</v>
      </c>
      <c r="V301" s="3">
        <v>629.89</v>
      </c>
      <c r="W301" s="3"/>
      <c r="X301" s="3"/>
      <c r="Y301" s="3">
        <v>1734.44</v>
      </c>
      <c r="Z301" s="3">
        <f>SUM(C301:X301)</f>
        <v>0</v>
      </c>
    </row>
    <row r="302" spans="1:26">
      <c r="A302" s="1" t="s">
        <v>177</v>
      </c>
      <c r="B302" s="2" t="s">
        <v>26</v>
      </c>
      <c r="C302" s="2">
        <v>358393</v>
      </c>
      <c r="D302" s="2">
        <v>2310</v>
      </c>
      <c r="E302" s="2">
        <v>10444</v>
      </c>
      <c r="F302" s="2"/>
      <c r="G302" s="2"/>
      <c r="H302" s="2"/>
      <c r="I302" s="2"/>
      <c r="J302" s="2"/>
      <c r="K302" s="2"/>
      <c r="L302" s="2"/>
      <c r="M302" s="2">
        <v>40080</v>
      </c>
      <c r="N302" s="2">
        <v>192099</v>
      </c>
      <c r="O302" s="2"/>
      <c r="P302" s="2">
        <v>5676</v>
      </c>
      <c r="Q302" s="2"/>
      <c r="R302" s="2">
        <v>5774</v>
      </c>
      <c r="S302" s="2"/>
      <c r="T302" s="2"/>
      <c r="U302" s="2"/>
      <c r="V302" s="2">
        <v>636</v>
      </c>
      <c r="W302" s="2"/>
      <c r="X302" s="2"/>
      <c r="Y302" s="2">
        <v>37824</v>
      </c>
      <c r="Z302" s="2">
        <f>SUM(C302:X302)</f>
        <v>0</v>
      </c>
    </row>
    <row r="303" spans="1:26">
      <c r="A303" s="1"/>
      <c r="B303" s="3" t="s">
        <v>27</v>
      </c>
      <c r="C303" s="3">
        <v>38484.14910000002</v>
      </c>
      <c r="D303" s="3">
        <v>646.8000000000001</v>
      </c>
      <c r="E303" s="3">
        <v>4756.3577</v>
      </c>
      <c r="F303" s="3"/>
      <c r="G303" s="3"/>
      <c r="H303" s="3"/>
      <c r="I303" s="3"/>
      <c r="J303" s="3"/>
      <c r="K303" s="3"/>
      <c r="L303" s="3"/>
      <c r="M303" s="3">
        <v>5847.3272</v>
      </c>
      <c r="N303" s="3">
        <v>11825.74795</v>
      </c>
      <c r="O303" s="3"/>
      <c r="P303" s="3">
        <v>712.28</v>
      </c>
      <c r="Q303" s="3"/>
      <c r="R303" s="3">
        <v>1328.02</v>
      </c>
      <c r="S303" s="3"/>
      <c r="T303" s="3"/>
      <c r="U303" s="3"/>
      <c r="V303" s="3">
        <v>203.52</v>
      </c>
      <c r="W303" s="3"/>
      <c r="X303" s="3"/>
      <c r="Y303" s="3">
        <v>1543.453</v>
      </c>
      <c r="Z303" s="3">
        <f>SUM(C303:X303)</f>
        <v>0</v>
      </c>
    </row>
    <row r="304" spans="1:26">
      <c r="A304" s="1" t="s">
        <v>178</v>
      </c>
      <c r="B304" s="2" t="s">
        <v>26</v>
      </c>
      <c r="C304" s="2">
        <v>118985</v>
      </c>
      <c r="D304" s="2">
        <v>34731</v>
      </c>
      <c r="E304" s="2">
        <v>11741</v>
      </c>
      <c r="F304" s="2"/>
      <c r="G304" s="2"/>
      <c r="H304" s="2"/>
      <c r="I304" s="2"/>
      <c r="J304" s="2"/>
      <c r="K304" s="2"/>
      <c r="L304" s="2"/>
      <c r="M304" s="2">
        <v>20570</v>
      </c>
      <c r="N304" s="2">
        <v>84807</v>
      </c>
      <c r="O304" s="2"/>
      <c r="P304" s="2"/>
      <c r="Q304" s="2">
        <v>14730</v>
      </c>
      <c r="R304" s="2">
        <v>2706</v>
      </c>
      <c r="S304" s="2"/>
      <c r="T304" s="2">
        <v>900</v>
      </c>
      <c r="U304" s="2"/>
      <c r="V304" s="2">
        <v>2831</v>
      </c>
      <c r="W304" s="2"/>
      <c r="X304" s="2"/>
      <c r="Y304" s="2">
        <v>20698</v>
      </c>
      <c r="Z304" s="2">
        <f>SUM(C304:X304)</f>
        <v>0</v>
      </c>
    </row>
    <row r="305" spans="1:26">
      <c r="A305" s="1"/>
      <c r="B305" s="3" t="s">
        <v>27</v>
      </c>
      <c r="C305" s="3">
        <v>13219.0099</v>
      </c>
      <c r="D305" s="3">
        <v>5996.324</v>
      </c>
      <c r="E305" s="3">
        <v>5529.6505</v>
      </c>
      <c r="F305" s="3"/>
      <c r="G305" s="3"/>
      <c r="H305" s="3"/>
      <c r="I305" s="3"/>
      <c r="J305" s="3"/>
      <c r="K305" s="3"/>
      <c r="L305" s="3"/>
      <c r="M305" s="3">
        <v>2944.282499999999</v>
      </c>
      <c r="N305" s="3">
        <v>5771.493700000002</v>
      </c>
      <c r="O305" s="3"/>
      <c r="P305" s="3"/>
      <c r="Q305" s="3">
        <v>961.8720000000001</v>
      </c>
      <c r="R305" s="3">
        <v>657.558</v>
      </c>
      <c r="S305" s="3"/>
      <c r="T305" s="3">
        <v>144.9</v>
      </c>
      <c r="U305" s="3"/>
      <c r="V305" s="3">
        <v>756.9800000000001</v>
      </c>
      <c r="W305" s="3"/>
      <c r="X305" s="3"/>
      <c r="Y305" s="3">
        <v>2790.86</v>
      </c>
      <c r="Z305" s="3">
        <f>SUM(C305:X305)</f>
        <v>0</v>
      </c>
    </row>
    <row r="306" spans="1:26">
      <c r="A306" s="1" t="s">
        <v>179</v>
      </c>
      <c r="B306" s="2" t="s">
        <v>26</v>
      </c>
      <c r="C306" s="2">
        <v>179221</v>
      </c>
      <c r="D306" s="2">
        <v>5759</v>
      </c>
      <c r="E306" s="2">
        <v>11268</v>
      </c>
      <c r="F306" s="2">
        <v>1195</v>
      </c>
      <c r="G306" s="2"/>
      <c r="H306" s="2"/>
      <c r="I306" s="2"/>
      <c r="J306" s="2"/>
      <c r="K306" s="2"/>
      <c r="L306" s="2"/>
      <c r="M306" s="2">
        <v>35230</v>
      </c>
      <c r="N306" s="2">
        <v>90795</v>
      </c>
      <c r="O306" s="2"/>
      <c r="P306" s="2">
        <v>2484</v>
      </c>
      <c r="Q306" s="2">
        <v>32985</v>
      </c>
      <c r="R306" s="2">
        <v>5387</v>
      </c>
      <c r="S306" s="2"/>
      <c r="T306" s="2">
        <v>4300</v>
      </c>
      <c r="U306" s="2"/>
      <c r="V306" s="2">
        <v>2318</v>
      </c>
      <c r="W306" s="2"/>
      <c r="X306" s="2"/>
      <c r="Y306" s="2">
        <v>22265</v>
      </c>
      <c r="Z306" s="2">
        <f>SUM(C306:X306)</f>
        <v>0</v>
      </c>
    </row>
    <row r="307" spans="1:26">
      <c r="A307" s="1"/>
      <c r="B307" s="3" t="s">
        <v>27</v>
      </c>
      <c r="C307" s="3">
        <v>18966.19134999998</v>
      </c>
      <c r="D307" s="3">
        <v>939.476</v>
      </c>
      <c r="E307" s="3">
        <v>6226.202000000001</v>
      </c>
      <c r="F307" s="3">
        <v>968.245</v>
      </c>
      <c r="G307" s="3"/>
      <c r="H307" s="3"/>
      <c r="I307" s="3"/>
      <c r="J307" s="3"/>
      <c r="K307" s="3"/>
      <c r="L307" s="3"/>
      <c r="M307" s="3">
        <v>5062.192499999998</v>
      </c>
      <c r="N307" s="3">
        <v>6290.069750675207</v>
      </c>
      <c r="O307" s="3"/>
      <c r="P307" s="3">
        <v>374.41</v>
      </c>
      <c r="Q307" s="3">
        <v>3056.834</v>
      </c>
      <c r="R307" s="3">
        <v>918.1522</v>
      </c>
      <c r="S307" s="3"/>
      <c r="T307" s="3">
        <v>706.8199999999999</v>
      </c>
      <c r="U307" s="3"/>
      <c r="V307" s="3">
        <v>625.8599999999998</v>
      </c>
      <c r="W307" s="3"/>
      <c r="X307" s="3"/>
      <c r="Y307" s="3">
        <v>1701.5245</v>
      </c>
      <c r="Z307" s="3">
        <f>SUM(C307:X307)</f>
        <v>0</v>
      </c>
    </row>
    <row r="308" spans="1:26">
      <c r="A308" s="1" t="s">
        <v>180</v>
      </c>
      <c r="B308" s="2" t="s">
        <v>26</v>
      </c>
      <c r="C308" s="2">
        <v>218486</v>
      </c>
      <c r="D308" s="2">
        <v>7760</v>
      </c>
      <c r="E308" s="2">
        <v>8559</v>
      </c>
      <c r="F308" s="2">
        <v>1410</v>
      </c>
      <c r="G308" s="2"/>
      <c r="H308" s="2"/>
      <c r="I308" s="2"/>
      <c r="J308" s="2"/>
      <c r="K308" s="2"/>
      <c r="L308" s="2"/>
      <c r="M308" s="2">
        <v>36967</v>
      </c>
      <c r="N308" s="2">
        <v>102776</v>
      </c>
      <c r="O308" s="2"/>
      <c r="P308" s="2">
        <v>1273</v>
      </c>
      <c r="Q308" s="2">
        <v>22549</v>
      </c>
      <c r="R308" s="2">
        <v>8810</v>
      </c>
      <c r="S308" s="2"/>
      <c r="T308" s="2">
        <v>8500</v>
      </c>
      <c r="U308" s="2"/>
      <c r="V308" s="2">
        <v>1733</v>
      </c>
      <c r="W308" s="2"/>
      <c r="X308" s="2"/>
      <c r="Y308" s="2">
        <v>79818</v>
      </c>
      <c r="Z308" s="2">
        <f>SUM(C308:X308)</f>
        <v>0</v>
      </c>
    </row>
    <row r="309" spans="1:26">
      <c r="A309" s="1"/>
      <c r="B309" s="3" t="s">
        <v>27</v>
      </c>
      <c r="C309" s="3">
        <v>21029.1008</v>
      </c>
      <c r="D309" s="3">
        <v>1657.8924</v>
      </c>
      <c r="E309" s="3">
        <v>3831.838</v>
      </c>
      <c r="F309" s="3">
        <v>1123.37</v>
      </c>
      <c r="G309" s="3"/>
      <c r="H309" s="3"/>
      <c r="I309" s="3"/>
      <c r="J309" s="3"/>
      <c r="K309" s="3"/>
      <c r="L309" s="3"/>
      <c r="M309" s="3">
        <v>5284.317799999999</v>
      </c>
      <c r="N309" s="3">
        <v>7723.235361488121</v>
      </c>
      <c r="O309" s="3"/>
      <c r="P309" s="3">
        <v>656.45</v>
      </c>
      <c r="Q309" s="3">
        <v>1885.1045</v>
      </c>
      <c r="R309" s="3">
        <v>1376.5456</v>
      </c>
      <c r="S309" s="3"/>
      <c r="T309" s="3">
        <v>1389.18</v>
      </c>
      <c r="U309" s="3"/>
      <c r="V309" s="3">
        <v>468.435</v>
      </c>
      <c r="W309" s="3"/>
      <c r="X309" s="3"/>
      <c r="Y309" s="3">
        <v>8622.347999999998</v>
      </c>
      <c r="Z309" s="3">
        <f>SUM(C309:X309)</f>
        <v>0</v>
      </c>
    </row>
    <row r="310" spans="1:26">
      <c r="A310" s="1" t="s">
        <v>181</v>
      </c>
      <c r="B310" s="2" t="s">
        <v>26</v>
      </c>
      <c r="C310" s="2">
        <v>303033</v>
      </c>
      <c r="D310" s="2">
        <v>24375</v>
      </c>
      <c r="E310" s="2">
        <v>7070</v>
      </c>
      <c r="F310" s="2">
        <v>164</v>
      </c>
      <c r="G310" s="2"/>
      <c r="H310" s="2"/>
      <c r="I310" s="2"/>
      <c r="J310" s="2"/>
      <c r="K310" s="2"/>
      <c r="L310" s="2"/>
      <c r="M310" s="2">
        <v>32245</v>
      </c>
      <c r="N310" s="2">
        <v>127980</v>
      </c>
      <c r="O310" s="2"/>
      <c r="P310" s="2">
        <v>1662</v>
      </c>
      <c r="Q310" s="2">
        <v>3808</v>
      </c>
      <c r="R310" s="2">
        <v>7130</v>
      </c>
      <c r="S310" s="2">
        <v>5048</v>
      </c>
      <c r="T310" s="2">
        <v>5500</v>
      </c>
      <c r="U310" s="2">
        <v>1000</v>
      </c>
      <c r="V310" s="2">
        <v>3128</v>
      </c>
      <c r="W310" s="2"/>
      <c r="X310" s="2">
        <v>1234</v>
      </c>
      <c r="Y310" s="2">
        <v>32868</v>
      </c>
      <c r="Z310" s="2">
        <f>SUM(C310:X310)</f>
        <v>0</v>
      </c>
    </row>
    <row r="311" spans="1:26">
      <c r="A311" s="1"/>
      <c r="B311" s="3" t="s">
        <v>27</v>
      </c>
      <c r="C311" s="3">
        <v>29959.58604999999</v>
      </c>
      <c r="D311" s="3">
        <v>5957.1815</v>
      </c>
      <c r="E311" s="3">
        <v>3356.0057</v>
      </c>
      <c r="F311" s="3">
        <v>135.586</v>
      </c>
      <c r="G311" s="3"/>
      <c r="H311" s="3"/>
      <c r="I311" s="3"/>
      <c r="J311" s="3"/>
      <c r="K311" s="3"/>
      <c r="L311" s="3"/>
      <c r="M311" s="3">
        <v>4548.84</v>
      </c>
      <c r="N311" s="3">
        <v>9308.518600000001</v>
      </c>
      <c r="O311" s="3"/>
      <c r="P311" s="3">
        <v>651.865</v>
      </c>
      <c r="Q311" s="3">
        <v>284.341</v>
      </c>
      <c r="R311" s="3">
        <v>1136.6802</v>
      </c>
      <c r="S311" s="3">
        <v>638.16</v>
      </c>
      <c r="T311" s="3">
        <v>906.4</v>
      </c>
      <c r="U311" s="3">
        <v>152.25</v>
      </c>
      <c r="V311" s="3">
        <v>1046.06</v>
      </c>
      <c r="W311" s="3"/>
      <c r="X311" s="3">
        <v>668.125</v>
      </c>
      <c r="Y311" s="3">
        <v>2640.4035</v>
      </c>
      <c r="Z311" s="3">
        <f>SUM(C311:X311)</f>
        <v>0</v>
      </c>
    </row>
    <row r="312" spans="1:26">
      <c r="A312" s="1" t="s">
        <v>182</v>
      </c>
      <c r="B312" s="2" t="s">
        <v>26</v>
      </c>
      <c r="C312" s="2">
        <v>276219</v>
      </c>
      <c r="D312" s="2">
        <v>10588</v>
      </c>
      <c r="E312" s="2">
        <v>13400</v>
      </c>
      <c r="F312" s="2">
        <v>11</v>
      </c>
      <c r="G312" s="2"/>
      <c r="H312" s="2"/>
      <c r="I312" s="2"/>
      <c r="J312" s="2"/>
      <c r="K312" s="2"/>
      <c r="L312" s="2"/>
      <c r="M312" s="2">
        <v>14075</v>
      </c>
      <c r="N312" s="2">
        <v>62220</v>
      </c>
      <c r="O312" s="2"/>
      <c r="P312" s="2">
        <v>3073</v>
      </c>
      <c r="Q312" s="2">
        <v>10132</v>
      </c>
      <c r="R312" s="2">
        <v>9864</v>
      </c>
      <c r="S312" s="2">
        <v>3123</v>
      </c>
      <c r="T312" s="2">
        <v>3500</v>
      </c>
      <c r="U312" s="2">
        <v>4628</v>
      </c>
      <c r="V312" s="2">
        <v>2813</v>
      </c>
      <c r="W312" s="2"/>
      <c r="X312" s="2">
        <v>649</v>
      </c>
      <c r="Y312" s="2">
        <v>10741</v>
      </c>
      <c r="Z312" s="2">
        <f>SUM(C312:X312)</f>
        <v>0</v>
      </c>
    </row>
    <row r="313" spans="1:26">
      <c r="A313" s="1"/>
      <c r="B313" s="3" t="s">
        <v>27</v>
      </c>
      <c r="C313" s="3">
        <v>26671.58499999999</v>
      </c>
      <c r="D313" s="3">
        <v>2981.19</v>
      </c>
      <c r="E313" s="3">
        <v>7220.515100000001</v>
      </c>
      <c r="F313" s="3">
        <v>9.173999999999999</v>
      </c>
      <c r="G313" s="3"/>
      <c r="H313" s="3"/>
      <c r="I313" s="3"/>
      <c r="J313" s="3"/>
      <c r="K313" s="3"/>
      <c r="L313" s="3"/>
      <c r="M313" s="3">
        <v>2003.9335</v>
      </c>
      <c r="N313" s="3">
        <v>3612.0425</v>
      </c>
      <c r="O313" s="3"/>
      <c r="P313" s="3">
        <v>1046.68</v>
      </c>
      <c r="Q313" s="3">
        <v>1022.0502</v>
      </c>
      <c r="R313" s="3">
        <v>2048.618</v>
      </c>
      <c r="S313" s="3">
        <v>425.12</v>
      </c>
      <c r="T313" s="3">
        <v>567.51</v>
      </c>
      <c r="U313" s="3">
        <v>740.48</v>
      </c>
      <c r="V313" s="3">
        <v>1073.85</v>
      </c>
      <c r="W313" s="3"/>
      <c r="X313" s="3">
        <v>351.195</v>
      </c>
      <c r="Y313" s="3">
        <v>789.4635</v>
      </c>
      <c r="Z313" s="3">
        <f>SUM(C313:X313)</f>
        <v>0</v>
      </c>
    </row>
    <row r="314" spans="1:26">
      <c r="A314" s="1" t="s">
        <v>183</v>
      </c>
      <c r="B314" s="2" t="s">
        <v>26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>
        <f>SUM(C314:X314)</f>
        <v>0</v>
      </c>
    </row>
    <row r="315" spans="1:26">
      <c r="A315" s="1"/>
      <c r="B315" s="3" t="s">
        <v>27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f>SUM(C315:X315)</f>
        <v>0</v>
      </c>
    </row>
    <row r="316" spans="1:26">
      <c r="A316" s="1" t="s">
        <v>184</v>
      </c>
      <c r="B316" s="2" t="s">
        <v>26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>
        <f>SUM(C316:X316)</f>
        <v>0</v>
      </c>
    </row>
    <row r="317" spans="1:26">
      <c r="A317" s="1"/>
      <c r="B317" s="3" t="s">
        <v>27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f>SUM(C317:X317)</f>
        <v>0</v>
      </c>
    </row>
    <row r="318" spans="1:26">
      <c r="A318" s="1" t="s">
        <v>185</v>
      </c>
      <c r="B318" s="2" t="s">
        <v>26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>
        <f>SUM(C318:X318)</f>
        <v>0</v>
      </c>
    </row>
    <row r="319" spans="1:26">
      <c r="A319" s="1"/>
      <c r="B319" s="3" t="s">
        <v>27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>
        <f>SUM(C319:X319)</f>
        <v>0</v>
      </c>
    </row>
    <row r="320" spans="1:26">
      <c r="A320" s="1" t="s">
        <v>186</v>
      </c>
      <c r="B320" s="2" t="s">
        <v>26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>
        <f>SUM(C320:X320)</f>
        <v>0</v>
      </c>
    </row>
    <row r="321" spans="1:26">
      <c r="A321" s="1"/>
      <c r="B321" s="3" t="s">
        <v>27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f>SUM(C321:X321)</f>
        <v>0</v>
      </c>
    </row>
    <row r="322" spans="1:26">
      <c r="A322" s="1" t="s">
        <v>187</v>
      </c>
      <c r="B322" s="2" t="s">
        <v>26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>
        <f>SUM(C322:X322)</f>
        <v>0</v>
      </c>
    </row>
    <row r="323" spans="1:26">
      <c r="A323" s="1"/>
      <c r="B323" s="3" t="s">
        <v>27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f>SUM(C323:X323)</f>
        <v>0</v>
      </c>
    </row>
    <row r="324" spans="1:26">
      <c r="A324" s="1" t="s">
        <v>188</v>
      </c>
      <c r="B324" s="2" t="s">
        <v>26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>
        <f>SUM(C324:X324)</f>
        <v>0</v>
      </c>
    </row>
    <row r="325" spans="1:26">
      <c r="A325" s="1"/>
      <c r="B325" s="3" t="s">
        <v>27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f>SUM(C325:X325)</f>
        <v>0</v>
      </c>
    </row>
    <row r="326" spans="1:26">
      <c r="A326" s="1" t="s">
        <v>189</v>
      </c>
      <c r="B326" s="2" t="s">
        <v>26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>
        <f>SUM(C326:X326)</f>
        <v>0</v>
      </c>
    </row>
    <row r="327" spans="1:26">
      <c r="A327" s="1"/>
      <c r="B327" s="3" t="s">
        <v>27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f>SUM(C327:X327)</f>
        <v>0</v>
      </c>
    </row>
    <row r="328" spans="1:26">
      <c r="A328" s="1" t="s">
        <v>190</v>
      </c>
      <c r="B328" s="2" t="s">
        <v>26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>
        <f>SUM(C328:X328)</f>
        <v>0</v>
      </c>
    </row>
    <row r="329" spans="1:26">
      <c r="A329" s="1"/>
      <c r="B329" s="3" t="s">
        <v>27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f>SUM(C329:X329)</f>
        <v>0</v>
      </c>
    </row>
    <row r="330" spans="1:26">
      <c r="A330" s="1" t="s">
        <v>191</v>
      </c>
      <c r="B330" s="2" t="s">
        <v>26</v>
      </c>
      <c r="C330" s="2">
        <v>236247</v>
      </c>
      <c r="D330" s="2">
        <v>13830</v>
      </c>
      <c r="E330" s="2"/>
      <c r="F330" s="2"/>
      <c r="G330" s="2"/>
      <c r="H330" s="2"/>
      <c r="I330" s="2"/>
      <c r="J330" s="2"/>
      <c r="K330" s="2"/>
      <c r="L330" s="2"/>
      <c r="M330" s="2">
        <v>10084</v>
      </c>
      <c r="N330" s="2">
        <v>46772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>
        <v>2650</v>
      </c>
      <c r="Z330" s="2">
        <f>SUM(C330:X330)</f>
        <v>0</v>
      </c>
    </row>
    <row r="331" spans="1:26">
      <c r="A331" s="1"/>
      <c r="B331" s="3" t="s">
        <v>27</v>
      </c>
      <c r="C331" s="3">
        <v>23886.3821</v>
      </c>
      <c r="D331" s="3">
        <v>2268.12</v>
      </c>
      <c r="E331" s="3"/>
      <c r="F331" s="3"/>
      <c r="G331" s="3"/>
      <c r="H331" s="3"/>
      <c r="I331" s="3"/>
      <c r="J331" s="3"/>
      <c r="K331" s="3"/>
      <c r="L331" s="3"/>
      <c r="M331" s="3">
        <v>1429.1242</v>
      </c>
      <c r="N331" s="3">
        <v>2462.924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>
        <v>139.6</v>
      </c>
      <c r="Z331" s="3">
        <f>SUM(C331:X331)</f>
        <v>0</v>
      </c>
    </row>
    <row r="332" spans="1:26">
      <c r="A332" s="1" t="s">
        <v>192</v>
      </c>
      <c r="B332" s="2" t="s">
        <v>26</v>
      </c>
      <c r="C332" s="2">
        <v>117969</v>
      </c>
      <c r="D332" s="2">
        <v>22860</v>
      </c>
      <c r="E332" s="2">
        <v>7417</v>
      </c>
      <c r="F332" s="2">
        <v>400</v>
      </c>
      <c r="G332" s="2"/>
      <c r="H332" s="2"/>
      <c r="I332" s="2"/>
      <c r="J332" s="2"/>
      <c r="K332" s="2"/>
      <c r="L332" s="2"/>
      <c r="M332" s="2">
        <v>8378</v>
      </c>
      <c r="N332" s="2">
        <v>66338</v>
      </c>
      <c r="O332" s="2"/>
      <c r="P332" s="2">
        <v>10021</v>
      </c>
      <c r="Q332" s="2">
        <v>9823</v>
      </c>
      <c r="R332" s="2">
        <v>3265</v>
      </c>
      <c r="S332" s="2">
        <v>902</v>
      </c>
      <c r="T332" s="2">
        <v>2700</v>
      </c>
      <c r="U332" s="2">
        <v>567</v>
      </c>
      <c r="V332" s="2">
        <v>2828</v>
      </c>
      <c r="W332" s="2"/>
      <c r="X332" s="2">
        <v>117</v>
      </c>
      <c r="Y332" s="2">
        <v>20940</v>
      </c>
      <c r="Z332" s="2">
        <f>SUM(C332:X332)</f>
        <v>0</v>
      </c>
    </row>
    <row r="333" spans="1:26">
      <c r="A333" s="1"/>
      <c r="B333" s="3" t="s">
        <v>27</v>
      </c>
      <c r="C333" s="3">
        <v>11484.19404999999</v>
      </c>
      <c r="D333" s="3">
        <v>3749.077</v>
      </c>
      <c r="E333" s="3">
        <v>3489.955200000001</v>
      </c>
      <c r="F333" s="3">
        <v>322.4</v>
      </c>
      <c r="G333" s="3"/>
      <c r="H333" s="3"/>
      <c r="I333" s="3"/>
      <c r="J333" s="3"/>
      <c r="K333" s="3"/>
      <c r="L333" s="3"/>
      <c r="M333" s="3">
        <v>1199.624800000001</v>
      </c>
      <c r="N333" s="3">
        <v>6418.880800000001</v>
      </c>
      <c r="O333" s="3"/>
      <c r="P333" s="3">
        <v>2041.74136</v>
      </c>
      <c r="Q333" s="3">
        <v>819.4549999999999</v>
      </c>
      <c r="R333" s="3">
        <v>701.9759999999999</v>
      </c>
      <c r="S333" s="3">
        <v>124.12</v>
      </c>
      <c r="T333" s="3">
        <v>448.5600000000001</v>
      </c>
      <c r="U333" s="3">
        <v>90.72</v>
      </c>
      <c r="V333" s="3">
        <v>594.87</v>
      </c>
      <c r="W333" s="3"/>
      <c r="X333" s="3">
        <v>63.18000000000001</v>
      </c>
      <c r="Y333" s="3">
        <v>1345.64</v>
      </c>
      <c r="Z333" s="3">
        <f>SUM(C333:X333)</f>
        <v>0</v>
      </c>
    </row>
    <row r="334" spans="1:26">
      <c r="A334" s="1" t="s">
        <v>193</v>
      </c>
      <c r="B334" s="2" t="s">
        <v>26</v>
      </c>
      <c r="C334" s="2">
        <v>137661</v>
      </c>
      <c r="D334" s="2">
        <v>556</v>
      </c>
      <c r="E334" s="2">
        <v>7567</v>
      </c>
      <c r="F334" s="2"/>
      <c r="G334" s="2"/>
      <c r="H334" s="2"/>
      <c r="I334" s="2"/>
      <c r="J334" s="2"/>
      <c r="K334" s="2"/>
      <c r="L334" s="2"/>
      <c r="M334" s="2"/>
      <c r="N334" s="2">
        <v>68871</v>
      </c>
      <c r="O334" s="2"/>
      <c r="P334" s="2"/>
      <c r="Q334" s="2">
        <v>25100</v>
      </c>
      <c r="R334" s="2">
        <v>8918</v>
      </c>
      <c r="S334" s="2">
        <v>649</v>
      </c>
      <c r="T334" s="2">
        <v>100</v>
      </c>
      <c r="U334" s="2">
        <v>4641</v>
      </c>
      <c r="V334" s="2">
        <v>2246</v>
      </c>
      <c r="W334" s="2"/>
      <c r="X334" s="2"/>
      <c r="Y334" s="2">
        <v>19440</v>
      </c>
      <c r="Z334" s="2">
        <f>SUM(C334:X334)</f>
        <v>0</v>
      </c>
    </row>
    <row r="335" spans="1:26">
      <c r="A335" s="1"/>
      <c r="B335" s="3" t="s">
        <v>27</v>
      </c>
      <c r="C335" s="3">
        <v>13446.04330000001</v>
      </c>
      <c r="D335" s="3">
        <v>159.3065</v>
      </c>
      <c r="E335" s="3">
        <v>3694.953600000001</v>
      </c>
      <c r="F335" s="3"/>
      <c r="G335" s="3"/>
      <c r="H335" s="3"/>
      <c r="I335" s="3"/>
      <c r="J335" s="3"/>
      <c r="K335" s="3"/>
      <c r="L335" s="3"/>
      <c r="M335" s="3"/>
      <c r="N335" s="3">
        <v>6915.179099999999</v>
      </c>
      <c r="O335" s="3"/>
      <c r="P335" s="3"/>
      <c r="Q335" s="3">
        <v>1708.26587</v>
      </c>
      <c r="R335" s="3">
        <v>1864.978</v>
      </c>
      <c r="S335" s="3">
        <v>77.88</v>
      </c>
      <c r="T335" s="3">
        <v>17.31</v>
      </c>
      <c r="U335" s="3">
        <v>1149.45</v>
      </c>
      <c r="V335" s="3">
        <v>479.32</v>
      </c>
      <c r="W335" s="3"/>
      <c r="X335" s="3"/>
      <c r="Y335" s="3">
        <v>795.78</v>
      </c>
      <c r="Z335" s="3">
        <f>SUM(C335:X335)</f>
        <v>0</v>
      </c>
    </row>
    <row r="336" spans="1:26">
      <c r="A336" s="1" t="s">
        <v>194</v>
      </c>
      <c r="B336" s="2" t="s">
        <v>26</v>
      </c>
      <c r="C336" s="2">
        <v>114334</v>
      </c>
      <c r="D336" s="2">
        <v>1209</v>
      </c>
      <c r="E336" s="2">
        <v>1576</v>
      </c>
      <c r="F336" s="2">
        <v>1420</v>
      </c>
      <c r="G336" s="2"/>
      <c r="H336" s="2"/>
      <c r="I336" s="2"/>
      <c r="J336" s="2"/>
      <c r="K336" s="2"/>
      <c r="L336" s="2"/>
      <c r="M336" s="2">
        <v>13900</v>
      </c>
      <c r="N336" s="2">
        <v>69811</v>
      </c>
      <c r="O336" s="2"/>
      <c r="P336" s="2">
        <v>9822</v>
      </c>
      <c r="Q336" s="2">
        <v>27352</v>
      </c>
      <c r="R336" s="2">
        <v>12487</v>
      </c>
      <c r="S336" s="2"/>
      <c r="T336" s="2">
        <v>1000</v>
      </c>
      <c r="U336" s="2">
        <v>8199</v>
      </c>
      <c r="V336" s="2">
        <v>2534</v>
      </c>
      <c r="W336" s="2"/>
      <c r="X336" s="2"/>
      <c r="Y336" s="2">
        <v>13250</v>
      </c>
      <c r="Z336" s="2">
        <f>SUM(C336:X336)</f>
        <v>0</v>
      </c>
    </row>
    <row r="337" spans="1:26">
      <c r="A337" s="1"/>
      <c r="B337" s="3" t="s">
        <v>27</v>
      </c>
      <c r="C337" s="3">
        <v>10892.60335</v>
      </c>
      <c r="D337" s="3">
        <v>343.9605</v>
      </c>
      <c r="E337" s="3">
        <v>821.6008999999999</v>
      </c>
      <c r="F337" s="3">
        <v>1519.4</v>
      </c>
      <c r="G337" s="3"/>
      <c r="H337" s="3"/>
      <c r="I337" s="3"/>
      <c r="J337" s="3"/>
      <c r="K337" s="3"/>
      <c r="L337" s="3"/>
      <c r="M337" s="3">
        <v>1948</v>
      </c>
      <c r="N337" s="3">
        <v>7581.897400000003</v>
      </c>
      <c r="O337" s="3"/>
      <c r="P337" s="3">
        <v>1190.784</v>
      </c>
      <c r="Q337" s="3">
        <v>1847.4351</v>
      </c>
      <c r="R337" s="3">
        <v>2253.5132</v>
      </c>
      <c r="S337" s="3"/>
      <c r="T337" s="3">
        <v>155.5</v>
      </c>
      <c r="U337" s="3">
        <v>2049.75</v>
      </c>
      <c r="V337" s="3">
        <v>538.8919999999999</v>
      </c>
      <c r="W337" s="3"/>
      <c r="X337" s="3"/>
      <c r="Y337" s="3">
        <v>993.98</v>
      </c>
      <c r="Z337" s="3">
        <f>SUM(C337:X337)</f>
        <v>0</v>
      </c>
    </row>
    <row r="338" spans="1:26">
      <c r="A338" s="1" t="s">
        <v>195</v>
      </c>
      <c r="B338" s="2" t="s">
        <v>26</v>
      </c>
      <c r="C338" s="2">
        <v>210613</v>
      </c>
      <c r="D338" s="2"/>
      <c r="E338" s="2">
        <v>3706</v>
      </c>
      <c r="F338" s="2">
        <v>225</v>
      </c>
      <c r="G338" s="2"/>
      <c r="H338" s="2"/>
      <c r="I338" s="2"/>
      <c r="J338" s="2"/>
      <c r="K338" s="2"/>
      <c r="L338" s="2"/>
      <c r="M338" s="2">
        <v>15288</v>
      </c>
      <c r="N338" s="2">
        <v>70553</v>
      </c>
      <c r="O338" s="2"/>
      <c r="P338" s="2">
        <v>3810</v>
      </c>
      <c r="Q338" s="2">
        <v>30112</v>
      </c>
      <c r="R338" s="2">
        <v>15263</v>
      </c>
      <c r="S338" s="2"/>
      <c r="T338" s="2"/>
      <c r="U338" s="2">
        <v>266</v>
      </c>
      <c r="V338" s="2">
        <v>2299</v>
      </c>
      <c r="W338" s="2"/>
      <c r="X338" s="2"/>
      <c r="Y338" s="2">
        <v>54261</v>
      </c>
      <c r="Z338" s="2">
        <f>SUM(C338:X338)</f>
        <v>0</v>
      </c>
    </row>
    <row r="339" spans="1:26">
      <c r="A339" s="1"/>
      <c r="B339" s="3" t="s">
        <v>27</v>
      </c>
      <c r="C339" s="3">
        <v>21125.21295000002</v>
      </c>
      <c r="D339" s="3"/>
      <c r="E339" s="3">
        <v>2081.8539</v>
      </c>
      <c r="F339" s="3">
        <v>182.925</v>
      </c>
      <c r="G339" s="3"/>
      <c r="H339" s="3"/>
      <c r="I339" s="3"/>
      <c r="J339" s="3"/>
      <c r="K339" s="3"/>
      <c r="L339" s="3"/>
      <c r="M339" s="3">
        <v>2184.875</v>
      </c>
      <c r="N339" s="3">
        <v>5378.894899999999</v>
      </c>
      <c r="O339" s="3"/>
      <c r="P339" s="3">
        <v>365.1123</v>
      </c>
      <c r="Q339" s="3">
        <v>2509.1078</v>
      </c>
      <c r="R339" s="3">
        <v>3232.978600000001</v>
      </c>
      <c r="S339" s="3"/>
      <c r="T339" s="3"/>
      <c r="U339" s="3">
        <v>66.5</v>
      </c>
      <c r="V339" s="3">
        <v>620.7299999999999</v>
      </c>
      <c r="W339" s="3"/>
      <c r="X339" s="3"/>
      <c r="Y339" s="3">
        <v>2501.8935</v>
      </c>
      <c r="Z339" s="3">
        <f>SUM(C339:X339)</f>
        <v>0</v>
      </c>
    </row>
    <row r="340" spans="1:26">
      <c r="A340" s="1" t="s">
        <v>196</v>
      </c>
      <c r="B340" s="2" t="s">
        <v>26</v>
      </c>
      <c r="C340" s="2">
        <v>186402</v>
      </c>
      <c r="D340" s="2">
        <v>11758</v>
      </c>
      <c r="E340" s="2">
        <v>42</v>
      </c>
      <c r="F340" s="2"/>
      <c r="G340" s="2"/>
      <c r="H340" s="2"/>
      <c r="I340" s="2"/>
      <c r="J340" s="2"/>
      <c r="K340" s="2"/>
      <c r="L340" s="2"/>
      <c r="M340" s="2">
        <v>18510</v>
      </c>
      <c r="N340" s="2">
        <v>120550</v>
      </c>
      <c r="O340" s="2"/>
      <c r="P340" s="2">
        <v>6943</v>
      </c>
      <c r="Q340" s="2">
        <v>21544</v>
      </c>
      <c r="R340" s="2">
        <v>11067</v>
      </c>
      <c r="S340" s="2">
        <v>285</v>
      </c>
      <c r="T340" s="2">
        <v>2700</v>
      </c>
      <c r="U340" s="2">
        <v>10449</v>
      </c>
      <c r="V340" s="2">
        <v>3346</v>
      </c>
      <c r="W340" s="2"/>
      <c r="X340" s="2"/>
      <c r="Y340" s="2">
        <v>32037</v>
      </c>
      <c r="Z340" s="2">
        <f>SUM(C340:X340)</f>
        <v>0</v>
      </c>
    </row>
    <row r="341" spans="1:26">
      <c r="A341" s="1"/>
      <c r="B341" s="3" t="s">
        <v>27</v>
      </c>
      <c r="C341" s="3">
        <v>19271.05725</v>
      </c>
      <c r="D341" s="3">
        <v>3292.240000000001</v>
      </c>
      <c r="E341" s="3">
        <v>18.9</v>
      </c>
      <c r="F341" s="3"/>
      <c r="G341" s="3"/>
      <c r="H341" s="3"/>
      <c r="I341" s="3"/>
      <c r="J341" s="3"/>
      <c r="K341" s="3"/>
      <c r="L341" s="3"/>
      <c r="M341" s="3">
        <v>2543.19</v>
      </c>
      <c r="N341" s="3">
        <v>9447.3225</v>
      </c>
      <c r="O341" s="3"/>
      <c r="P341" s="3">
        <v>1679.13856</v>
      </c>
      <c r="Q341" s="3">
        <v>2025.1493</v>
      </c>
      <c r="R341" s="3">
        <v>2305.3044</v>
      </c>
      <c r="S341" s="3">
        <v>27.075</v>
      </c>
      <c r="T341" s="3">
        <v>458.84</v>
      </c>
      <c r="U341" s="3">
        <v>1445.83</v>
      </c>
      <c r="V341" s="3">
        <v>870.8</v>
      </c>
      <c r="W341" s="3"/>
      <c r="X341" s="3"/>
      <c r="Y341" s="3">
        <v>1799.526</v>
      </c>
      <c r="Z341" s="3">
        <f>SUM(C341:X341)</f>
        <v>0</v>
      </c>
    </row>
    <row r="342" spans="1:26">
      <c r="A342" s="1" t="s">
        <v>197</v>
      </c>
      <c r="B342" s="2" t="s">
        <v>26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>
        <f>SUM(C342:X342)</f>
        <v>0</v>
      </c>
    </row>
    <row r="343" spans="1:26">
      <c r="A343" s="1"/>
      <c r="B343" s="3" t="s">
        <v>27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f>SUM(C343:X343)</f>
        <v>0</v>
      </c>
    </row>
    <row r="344" spans="1:26">
      <c r="A344" s="1" t="s">
        <v>198</v>
      </c>
      <c r="B344" s="2" t="s">
        <v>26</v>
      </c>
      <c r="C344" s="2">
        <v>195623</v>
      </c>
      <c r="D344" s="2">
        <v>2100</v>
      </c>
      <c r="E344" s="2"/>
      <c r="F344" s="2"/>
      <c r="G344" s="2"/>
      <c r="H344" s="2"/>
      <c r="I344" s="2"/>
      <c r="J344" s="2"/>
      <c r="K344" s="2"/>
      <c r="L344" s="2"/>
      <c r="M344" s="2">
        <v>20720</v>
      </c>
      <c r="N344" s="2">
        <v>120823</v>
      </c>
      <c r="O344" s="2"/>
      <c r="P344" s="2"/>
      <c r="Q344" s="2">
        <v>20093</v>
      </c>
      <c r="R344" s="2">
        <v>10197</v>
      </c>
      <c r="S344" s="2"/>
      <c r="T344" s="2">
        <v>2700</v>
      </c>
      <c r="U344" s="2">
        <v>22713</v>
      </c>
      <c r="V344" s="2">
        <v>5034</v>
      </c>
      <c r="W344" s="2"/>
      <c r="X344" s="2"/>
      <c r="Y344" s="2">
        <v>3500</v>
      </c>
      <c r="Z344" s="2">
        <f>SUM(C344:X344)</f>
        <v>0</v>
      </c>
    </row>
    <row r="345" spans="1:26">
      <c r="A345" s="1"/>
      <c r="B345" s="3" t="s">
        <v>27</v>
      </c>
      <c r="C345" s="3">
        <v>21908.7108</v>
      </c>
      <c r="D345" s="3">
        <v>798</v>
      </c>
      <c r="E345" s="3"/>
      <c r="F345" s="3"/>
      <c r="G345" s="3"/>
      <c r="H345" s="3"/>
      <c r="I345" s="3"/>
      <c r="J345" s="3"/>
      <c r="K345" s="3"/>
      <c r="L345" s="3"/>
      <c r="M345" s="3">
        <v>2904.02</v>
      </c>
      <c r="N345" s="3">
        <v>8516.483100000001</v>
      </c>
      <c r="O345" s="3"/>
      <c r="P345" s="3"/>
      <c r="Q345" s="3">
        <v>1717.1692</v>
      </c>
      <c r="R345" s="3">
        <v>2175.0478</v>
      </c>
      <c r="S345" s="3"/>
      <c r="T345" s="3">
        <v>432.35</v>
      </c>
      <c r="U345" s="3">
        <v>3030.584</v>
      </c>
      <c r="V345" s="3">
        <v>1304.91</v>
      </c>
      <c r="W345" s="3"/>
      <c r="X345" s="3"/>
      <c r="Y345" s="3">
        <v>388.65</v>
      </c>
      <c r="Z345" s="3">
        <f>SUM(C345:X345)</f>
        <v>0</v>
      </c>
    </row>
    <row r="346" spans="1:26">
      <c r="A346" s="1" t="s">
        <v>199</v>
      </c>
      <c r="B346" s="2" t="s">
        <v>26</v>
      </c>
      <c r="C346" s="2">
        <v>191114</v>
      </c>
      <c r="D346" s="2">
        <v>10021</v>
      </c>
      <c r="E346" s="2"/>
      <c r="F346" s="2"/>
      <c r="G346" s="2"/>
      <c r="H346" s="2"/>
      <c r="I346" s="2"/>
      <c r="J346" s="2"/>
      <c r="K346" s="2"/>
      <c r="L346" s="2"/>
      <c r="M346" s="2">
        <v>20033</v>
      </c>
      <c r="N346" s="2">
        <v>140393</v>
      </c>
      <c r="O346" s="2"/>
      <c r="P346" s="2">
        <v>2063</v>
      </c>
      <c r="Q346" s="2">
        <v>21401</v>
      </c>
      <c r="R346" s="2">
        <v>5426</v>
      </c>
      <c r="S346" s="2"/>
      <c r="T346" s="2">
        <v>8720</v>
      </c>
      <c r="U346" s="2">
        <v>1863</v>
      </c>
      <c r="V346" s="2">
        <v>5154</v>
      </c>
      <c r="W346" s="2"/>
      <c r="X346" s="2"/>
      <c r="Y346" s="2">
        <v>1442</v>
      </c>
      <c r="Z346" s="2">
        <f>SUM(C346:X346)</f>
        <v>0</v>
      </c>
    </row>
    <row r="347" spans="1:26">
      <c r="A347" s="1"/>
      <c r="B347" s="3" t="s">
        <v>27</v>
      </c>
      <c r="C347" s="3">
        <v>21119.94464999999</v>
      </c>
      <c r="D347" s="3">
        <v>1813.525</v>
      </c>
      <c r="E347" s="3"/>
      <c r="F347" s="3"/>
      <c r="G347" s="3"/>
      <c r="H347" s="3"/>
      <c r="I347" s="3"/>
      <c r="J347" s="3"/>
      <c r="K347" s="3"/>
      <c r="L347" s="3"/>
      <c r="M347" s="3">
        <v>2806.16275</v>
      </c>
      <c r="N347" s="3">
        <v>12634.76</v>
      </c>
      <c r="O347" s="3"/>
      <c r="P347" s="3">
        <v>197.69729</v>
      </c>
      <c r="Q347" s="3">
        <v>2055.545500000001</v>
      </c>
      <c r="R347" s="3">
        <v>1275.4528</v>
      </c>
      <c r="S347" s="3"/>
      <c r="T347" s="3">
        <v>1339.62</v>
      </c>
      <c r="U347" s="3">
        <v>253.368</v>
      </c>
      <c r="V347" s="3">
        <v>1337.19</v>
      </c>
      <c r="W347" s="3"/>
      <c r="X347" s="3"/>
      <c r="Y347" s="3">
        <v>575.9879999999999</v>
      </c>
      <c r="Z347" s="3">
        <f>SUM(C347:X347)</f>
        <v>0</v>
      </c>
    </row>
    <row r="348" spans="1:26">
      <c r="A348" s="1" t="s">
        <v>200</v>
      </c>
      <c r="B348" s="2" t="s">
        <v>26</v>
      </c>
      <c r="C348" s="2">
        <v>159178</v>
      </c>
      <c r="D348" s="2">
        <v>18695</v>
      </c>
      <c r="E348" s="2">
        <v>5575</v>
      </c>
      <c r="F348" s="2"/>
      <c r="G348" s="2"/>
      <c r="H348" s="2"/>
      <c r="I348" s="2"/>
      <c r="J348" s="2"/>
      <c r="K348" s="2"/>
      <c r="L348" s="2"/>
      <c r="M348" s="2">
        <v>20700</v>
      </c>
      <c r="N348" s="2">
        <v>135834</v>
      </c>
      <c r="O348" s="2"/>
      <c r="P348" s="2"/>
      <c r="Q348" s="2">
        <v>30047</v>
      </c>
      <c r="R348" s="2">
        <v>2110</v>
      </c>
      <c r="S348" s="2"/>
      <c r="T348" s="2">
        <v>10100</v>
      </c>
      <c r="U348" s="2">
        <v>5454</v>
      </c>
      <c r="V348" s="2">
        <v>3220</v>
      </c>
      <c r="W348" s="2"/>
      <c r="X348" s="2"/>
      <c r="Y348" s="2">
        <v>96689</v>
      </c>
      <c r="Z348" s="2">
        <f>SUM(C348:X348)</f>
        <v>0</v>
      </c>
    </row>
    <row r="349" spans="1:26">
      <c r="A349" s="1"/>
      <c r="B349" s="3" t="s">
        <v>27</v>
      </c>
      <c r="C349" s="3">
        <v>17292.27085000001</v>
      </c>
      <c r="D349" s="3">
        <v>3663.6125</v>
      </c>
      <c r="E349" s="3">
        <v>3580.5482</v>
      </c>
      <c r="F349" s="3"/>
      <c r="G349" s="3"/>
      <c r="H349" s="3"/>
      <c r="I349" s="3"/>
      <c r="J349" s="3"/>
      <c r="K349" s="3"/>
      <c r="L349" s="3"/>
      <c r="M349" s="3">
        <v>2949.225</v>
      </c>
      <c r="N349" s="3">
        <v>10299.1229</v>
      </c>
      <c r="O349" s="3"/>
      <c r="P349" s="3"/>
      <c r="Q349" s="3">
        <v>3728.004999999999</v>
      </c>
      <c r="R349" s="3">
        <v>533.826</v>
      </c>
      <c r="S349" s="3"/>
      <c r="T349" s="3">
        <v>1502.4</v>
      </c>
      <c r="U349" s="3">
        <v>654.4799999999999</v>
      </c>
      <c r="V349" s="3">
        <v>837.2</v>
      </c>
      <c r="W349" s="3"/>
      <c r="X349" s="3"/>
      <c r="Y349" s="3">
        <v>5771.89</v>
      </c>
      <c r="Z349" s="3">
        <f>SUM(C349:X349)</f>
        <v>0</v>
      </c>
    </row>
    <row r="350" spans="1:26">
      <c r="A350" s="1" t="s">
        <v>201</v>
      </c>
      <c r="B350" s="2" t="s">
        <v>26</v>
      </c>
      <c r="C350" s="2">
        <v>186748</v>
      </c>
      <c r="D350" s="2">
        <v>1052</v>
      </c>
      <c r="E350" s="2">
        <v>3754</v>
      </c>
      <c r="F350" s="2"/>
      <c r="G350" s="2"/>
      <c r="H350" s="2"/>
      <c r="I350" s="2"/>
      <c r="J350" s="2"/>
      <c r="K350" s="2"/>
      <c r="L350" s="2"/>
      <c r="M350" s="2">
        <v>20150</v>
      </c>
      <c r="N350" s="2">
        <v>130178</v>
      </c>
      <c r="O350" s="2"/>
      <c r="P350" s="2">
        <v>3510</v>
      </c>
      <c r="Q350" s="2">
        <v>20575</v>
      </c>
      <c r="R350" s="2">
        <v>2177</v>
      </c>
      <c r="S350" s="2"/>
      <c r="T350" s="2">
        <v>11700</v>
      </c>
      <c r="U350" s="2">
        <v>4845</v>
      </c>
      <c r="V350" s="2">
        <v>2317</v>
      </c>
      <c r="W350" s="2"/>
      <c r="X350" s="2"/>
      <c r="Y350" s="2">
        <v>129028</v>
      </c>
      <c r="Z350" s="2">
        <f>SUM(C350:X350)</f>
        <v>0</v>
      </c>
    </row>
    <row r="351" spans="1:26">
      <c r="A351" s="1"/>
      <c r="B351" s="3" t="s">
        <v>27</v>
      </c>
      <c r="C351" s="3">
        <v>18728.57315</v>
      </c>
      <c r="D351" s="3">
        <v>294.5600000000001</v>
      </c>
      <c r="E351" s="3">
        <v>2263.3451</v>
      </c>
      <c r="F351" s="3"/>
      <c r="G351" s="3"/>
      <c r="H351" s="3"/>
      <c r="I351" s="3"/>
      <c r="J351" s="3"/>
      <c r="K351" s="3"/>
      <c r="L351" s="3"/>
      <c r="M351" s="3">
        <v>2796.53</v>
      </c>
      <c r="N351" s="3">
        <v>8978.062999999998</v>
      </c>
      <c r="O351" s="3"/>
      <c r="P351" s="3">
        <v>1042.9960000007</v>
      </c>
      <c r="Q351" s="3">
        <v>2040.111</v>
      </c>
      <c r="R351" s="3">
        <v>529.011</v>
      </c>
      <c r="S351" s="3"/>
      <c r="T351" s="3">
        <v>1814.59</v>
      </c>
      <c r="U351" s="3">
        <v>713.22</v>
      </c>
      <c r="V351" s="3">
        <v>600.36</v>
      </c>
      <c r="W351" s="3"/>
      <c r="X351" s="3"/>
      <c r="Y351" s="3">
        <v>6000.216000000004</v>
      </c>
      <c r="Z351" s="3">
        <f>SUM(C351:X351)</f>
        <v>0</v>
      </c>
    </row>
    <row r="352" spans="1:26">
      <c r="A352" s="1" t="s">
        <v>202</v>
      </c>
      <c r="B352" s="2" t="s">
        <v>26</v>
      </c>
      <c r="C352" s="2">
        <v>164737</v>
      </c>
      <c r="D352" s="2"/>
      <c r="E352" s="2"/>
      <c r="F352" s="2"/>
      <c r="G352" s="2"/>
      <c r="H352" s="2"/>
      <c r="I352" s="2"/>
      <c r="J352" s="2"/>
      <c r="K352" s="2"/>
      <c r="L352" s="2"/>
      <c r="M352" s="2">
        <v>25230</v>
      </c>
      <c r="N352" s="2">
        <v>182314</v>
      </c>
      <c r="O352" s="2"/>
      <c r="P352" s="2">
        <v>857</v>
      </c>
      <c r="Q352" s="2">
        <v>25453</v>
      </c>
      <c r="R352" s="2">
        <v>1195</v>
      </c>
      <c r="S352" s="2"/>
      <c r="T352" s="2">
        <v>9000</v>
      </c>
      <c r="U352" s="2">
        <v>5069</v>
      </c>
      <c r="V352" s="2">
        <v>3980</v>
      </c>
      <c r="W352" s="2"/>
      <c r="X352" s="2"/>
      <c r="Y352" s="2">
        <v>78164</v>
      </c>
      <c r="Z352" s="2">
        <f>SUM(C352:X352)</f>
        <v>0</v>
      </c>
    </row>
    <row r="353" spans="1:26">
      <c r="A353" s="1"/>
      <c r="B353" s="3" t="s">
        <v>27</v>
      </c>
      <c r="C353" s="3">
        <v>17389.3304</v>
      </c>
      <c r="D353" s="3"/>
      <c r="E353" s="3"/>
      <c r="F353" s="3"/>
      <c r="G353" s="3"/>
      <c r="H353" s="3"/>
      <c r="I353" s="3"/>
      <c r="J353" s="3"/>
      <c r="K353" s="3"/>
      <c r="L353" s="3"/>
      <c r="M353" s="3">
        <v>3590.845</v>
      </c>
      <c r="N353" s="3">
        <v>13586.3575</v>
      </c>
      <c r="O353" s="3"/>
      <c r="P353" s="3">
        <v>174.55</v>
      </c>
      <c r="Q353" s="3">
        <v>2939.2745</v>
      </c>
      <c r="R353" s="3">
        <v>292.41</v>
      </c>
      <c r="S353" s="3"/>
      <c r="T353" s="3">
        <v>1475.65</v>
      </c>
      <c r="U353" s="3">
        <v>704.74</v>
      </c>
      <c r="V353" s="3">
        <v>1034.8</v>
      </c>
      <c r="W353" s="3"/>
      <c r="X353" s="3"/>
      <c r="Y353" s="3">
        <v>4208.393000000003</v>
      </c>
      <c r="Z353" s="3">
        <f>SUM(C353:X353)</f>
        <v>0</v>
      </c>
    </row>
    <row r="354" spans="1:26">
      <c r="A354" s="1" t="s">
        <v>203</v>
      </c>
      <c r="B354" s="2" t="s">
        <v>26</v>
      </c>
      <c r="C354" s="2">
        <v>117170</v>
      </c>
      <c r="D354" s="2">
        <v>310</v>
      </c>
      <c r="E354" s="2">
        <v>3055</v>
      </c>
      <c r="F354" s="2"/>
      <c r="G354" s="2"/>
      <c r="H354" s="2"/>
      <c r="I354" s="2"/>
      <c r="J354" s="2"/>
      <c r="K354" s="2"/>
      <c r="L354" s="2"/>
      <c r="M354" s="2">
        <v>20527</v>
      </c>
      <c r="N354" s="2">
        <v>190254</v>
      </c>
      <c r="O354" s="2"/>
      <c r="P354" s="2">
        <v>14038</v>
      </c>
      <c r="Q354" s="2">
        <v>10110</v>
      </c>
      <c r="R354" s="2">
        <v>2793</v>
      </c>
      <c r="S354" s="2"/>
      <c r="T354" s="2">
        <v>14700</v>
      </c>
      <c r="U354" s="2">
        <v>8897</v>
      </c>
      <c r="V354" s="2">
        <v>10232</v>
      </c>
      <c r="W354" s="2"/>
      <c r="X354" s="2"/>
      <c r="Y354" s="2">
        <v>63823</v>
      </c>
      <c r="Z354" s="2">
        <f>SUM(C354:X354)</f>
        <v>0</v>
      </c>
    </row>
    <row r="355" spans="1:26">
      <c r="A355" s="1"/>
      <c r="B355" s="3" t="s">
        <v>27</v>
      </c>
      <c r="C355" s="3">
        <v>13873.00115</v>
      </c>
      <c r="D355" s="3">
        <v>56.4005</v>
      </c>
      <c r="E355" s="3">
        <v>2077.4</v>
      </c>
      <c r="F355" s="3"/>
      <c r="G355" s="3"/>
      <c r="H355" s="3"/>
      <c r="I355" s="3"/>
      <c r="J355" s="3"/>
      <c r="K355" s="3"/>
      <c r="L355" s="3"/>
      <c r="M355" s="3">
        <v>2861.914749999999</v>
      </c>
      <c r="N355" s="3">
        <v>11057.0138</v>
      </c>
      <c r="O355" s="3"/>
      <c r="P355" s="3">
        <v>2004.998</v>
      </c>
      <c r="Q355" s="3">
        <v>1251.4722</v>
      </c>
      <c r="R355" s="3">
        <v>711.913</v>
      </c>
      <c r="S355" s="3"/>
      <c r="T355" s="3">
        <v>2446.77</v>
      </c>
      <c r="U355" s="3">
        <v>1118.32</v>
      </c>
      <c r="V355" s="3">
        <v>2662.78</v>
      </c>
      <c r="W355" s="3"/>
      <c r="X355" s="3"/>
      <c r="Y355" s="3">
        <v>3367.338000000002</v>
      </c>
      <c r="Z355" s="3">
        <f>SUM(C355:X355)</f>
        <v>0</v>
      </c>
    </row>
    <row r="356" spans="1:26">
      <c r="A356" s="1" t="s">
        <v>204</v>
      </c>
      <c r="B356" s="2" t="s">
        <v>26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>
        <f>SUM(C356:X356)</f>
        <v>0</v>
      </c>
    </row>
    <row r="357" spans="1:26">
      <c r="A357" s="1"/>
      <c r="B357" s="3" t="s">
        <v>27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f>SUM(C357:X357)</f>
        <v>0</v>
      </c>
    </row>
    <row r="358" spans="1:26">
      <c r="A358" s="1" t="s">
        <v>205</v>
      </c>
      <c r="B358" s="2" t="s">
        <v>26</v>
      </c>
      <c r="C358" s="2">
        <v>195429</v>
      </c>
      <c r="D358" s="2">
        <v>910</v>
      </c>
      <c r="E358" s="2">
        <v>9705</v>
      </c>
      <c r="F358" s="2"/>
      <c r="G358" s="2"/>
      <c r="H358" s="2"/>
      <c r="I358" s="2"/>
      <c r="J358" s="2"/>
      <c r="K358" s="2"/>
      <c r="L358" s="2"/>
      <c r="M358" s="2">
        <v>20100</v>
      </c>
      <c r="N358" s="2">
        <v>104244</v>
      </c>
      <c r="O358" s="2"/>
      <c r="P358" s="2">
        <v>12121</v>
      </c>
      <c r="Q358" s="2">
        <v>10054</v>
      </c>
      <c r="R358" s="2">
        <v>10036</v>
      </c>
      <c r="S358" s="2"/>
      <c r="T358" s="2">
        <v>10070</v>
      </c>
      <c r="U358" s="2">
        <v>5985</v>
      </c>
      <c r="V358" s="2">
        <v>5037</v>
      </c>
      <c r="W358" s="2"/>
      <c r="X358" s="2"/>
      <c r="Y358" s="2">
        <v>7800</v>
      </c>
      <c r="Z358" s="2">
        <f>SUM(C358:X358)</f>
        <v>0</v>
      </c>
    </row>
    <row r="359" spans="1:26">
      <c r="A359" s="1"/>
      <c r="B359" s="3" t="s">
        <v>27</v>
      </c>
      <c r="C359" s="3">
        <v>20302.20384999999</v>
      </c>
      <c r="D359" s="3">
        <v>261.04</v>
      </c>
      <c r="E359" s="3">
        <v>4798.0302</v>
      </c>
      <c r="F359" s="3"/>
      <c r="G359" s="3"/>
      <c r="H359" s="3"/>
      <c r="I359" s="3"/>
      <c r="J359" s="3"/>
      <c r="K359" s="3"/>
      <c r="L359" s="3"/>
      <c r="M359" s="3">
        <v>2829.375</v>
      </c>
      <c r="N359" s="3">
        <v>7464.071400000001</v>
      </c>
      <c r="O359" s="3"/>
      <c r="P359" s="3">
        <v>1596.812</v>
      </c>
      <c r="Q359" s="3">
        <v>1131.681</v>
      </c>
      <c r="R359" s="3">
        <v>2720.465</v>
      </c>
      <c r="S359" s="3"/>
      <c r="T359" s="3">
        <v>1669.61</v>
      </c>
      <c r="U359" s="3">
        <v>918.7450000000001</v>
      </c>
      <c r="V359" s="3">
        <v>1312.4</v>
      </c>
      <c r="W359" s="3"/>
      <c r="X359" s="3"/>
      <c r="Y359" s="3">
        <v>413.4</v>
      </c>
      <c r="Z359" s="3">
        <f>SUM(C359:X359)</f>
        <v>0</v>
      </c>
    </row>
    <row r="360" spans="1:26">
      <c r="A360" s="1" t="s">
        <v>206</v>
      </c>
      <c r="B360" s="2" t="s">
        <v>26</v>
      </c>
      <c r="C360" s="2">
        <v>158979</v>
      </c>
      <c r="D360" s="2">
        <v>9609</v>
      </c>
      <c r="E360" s="2">
        <v>5421</v>
      </c>
      <c r="F360" s="2"/>
      <c r="G360" s="2"/>
      <c r="H360" s="2"/>
      <c r="I360" s="2"/>
      <c r="J360" s="2"/>
      <c r="K360" s="2"/>
      <c r="L360" s="2"/>
      <c r="M360" s="2">
        <v>25300</v>
      </c>
      <c r="N360" s="2">
        <v>103331</v>
      </c>
      <c r="O360" s="2"/>
      <c r="P360" s="2">
        <v>8757</v>
      </c>
      <c r="Q360" s="2">
        <v>15143</v>
      </c>
      <c r="R360" s="2">
        <v>10085</v>
      </c>
      <c r="S360" s="2"/>
      <c r="T360" s="2">
        <v>4100</v>
      </c>
      <c r="U360" s="2">
        <v>8272</v>
      </c>
      <c r="V360" s="2">
        <v>3058</v>
      </c>
      <c r="W360" s="2"/>
      <c r="X360" s="2"/>
      <c r="Y360" s="2">
        <v>15792</v>
      </c>
      <c r="Z360" s="2">
        <f>SUM(C360:X360)</f>
        <v>0</v>
      </c>
    </row>
    <row r="361" spans="1:26">
      <c r="A361" s="1"/>
      <c r="B361" s="3" t="s">
        <v>27</v>
      </c>
      <c r="C361" s="3">
        <v>16430.94730000001</v>
      </c>
      <c r="D361" s="3">
        <v>2303.71</v>
      </c>
      <c r="E361" s="3">
        <v>3357.773299999999</v>
      </c>
      <c r="F361" s="3"/>
      <c r="G361" s="3"/>
      <c r="H361" s="3"/>
      <c r="I361" s="3"/>
      <c r="J361" s="3"/>
      <c r="K361" s="3"/>
      <c r="L361" s="3"/>
      <c r="M361" s="3">
        <v>3563.8</v>
      </c>
      <c r="N361" s="3">
        <v>10371.506</v>
      </c>
      <c r="O361" s="3"/>
      <c r="P361" s="3">
        <v>1333.25</v>
      </c>
      <c r="Q361" s="3">
        <v>1589.873</v>
      </c>
      <c r="R361" s="3">
        <v>2548.997</v>
      </c>
      <c r="S361" s="3"/>
      <c r="T361" s="3">
        <v>681.6</v>
      </c>
      <c r="U361" s="3">
        <v>951.28</v>
      </c>
      <c r="V361" s="3">
        <v>832.9299999999999</v>
      </c>
      <c r="W361" s="3"/>
      <c r="X361" s="3"/>
      <c r="Y361" s="3">
        <v>1065.174</v>
      </c>
      <c r="Z361" s="3">
        <f>SUM(C361:X361)</f>
        <v>0</v>
      </c>
    </row>
    <row r="362" spans="1:26">
      <c r="A362" s="1" t="s">
        <v>207</v>
      </c>
      <c r="B362" s="2" t="s">
        <v>26</v>
      </c>
      <c r="C362" s="2">
        <v>172134</v>
      </c>
      <c r="D362" s="2">
        <v>4388</v>
      </c>
      <c r="E362" s="2">
        <v>11631</v>
      </c>
      <c r="F362" s="2"/>
      <c r="G362" s="2"/>
      <c r="H362" s="2"/>
      <c r="I362" s="2"/>
      <c r="J362" s="2"/>
      <c r="K362" s="2"/>
      <c r="L362" s="2"/>
      <c r="M362" s="2">
        <v>20300</v>
      </c>
      <c r="N362" s="2">
        <v>41251</v>
      </c>
      <c r="O362" s="2"/>
      <c r="P362" s="2">
        <v>5486</v>
      </c>
      <c r="Q362" s="2">
        <v>11555</v>
      </c>
      <c r="R362" s="2">
        <v>9896</v>
      </c>
      <c r="S362" s="2"/>
      <c r="T362" s="2"/>
      <c r="U362" s="2">
        <v>9352</v>
      </c>
      <c r="V362" s="2">
        <v>4261</v>
      </c>
      <c r="W362" s="2"/>
      <c r="X362" s="2"/>
      <c r="Y362" s="2">
        <v>9596</v>
      </c>
      <c r="Z362" s="2">
        <f>SUM(C362:X362)</f>
        <v>0</v>
      </c>
    </row>
    <row r="363" spans="1:26">
      <c r="A363" s="1"/>
      <c r="B363" s="3" t="s">
        <v>27</v>
      </c>
      <c r="C363" s="3">
        <v>17850.7895</v>
      </c>
      <c r="D363" s="3">
        <v>1080.89</v>
      </c>
      <c r="E363" s="3">
        <v>7861.376700000001</v>
      </c>
      <c r="F363" s="3"/>
      <c r="G363" s="3"/>
      <c r="H363" s="3"/>
      <c r="I363" s="3"/>
      <c r="J363" s="3"/>
      <c r="K363" s="3"/>
      <c r="L363" s="3"/>
      <c r="M363" s="3">
        <v>2811.05</v>
      </c>
      <c r="N363" s="3">
        <v>3510.2685</v>
      </c>
      <c r="O363" s="3"/>
      <c r="P363" s="3">
        <v>933.5199999999999</v>
      </c>
      <c r="Q363" s="3">
        <v>1255.0651</v>
      </c>
      <c r="R363" s="3">
        <v>2588.961999999999</v>
      </c>
      <c r="S363" s="3"/>
      <c r="T363" s="3"/>
      <c r="U363" s="3">
        <v>1362.305</v>
      </c>
      <c r="V363" s="3">
        <v>1201.94</v>
      </c>
      <c r="W363" s="3"/>
      <c r="X363" s="3"/>
      <c r="Y363" s="3">
        <v>459.6120000000001</v>
      </c>
      <c r="Z363" s="3">
        <f>SUM(C363:X363)</f>
        <v>0</v>
      </c>
    </row>
    <row r="364" spans="1:26">
      <c r="A364" s="1" t="s">
        <v>208</v>
      </c>
      <c r="B364" s="2" t="s">
        <v>26</v>
      </c>
      <c r="C364" s="2">
        <v>118607</v>
      </c>
      <c r="D364" s="2"/>
      <c r="E364" s="2">
        <v>2177</v>
      </c>
      <c r="F364" s="2"/>
      <c r="G364" s="2"/>
      <c r="H364" s="2"/>
      <c r="I364" s="2"/>
      <c r="J364" s="2"/>
      <c r="K364" s="2"/>
      <c r="L364" s="2"/>
      <c r="M364" s="2">
        <v>5000</v>
      </c>
      <c r="N364" s="2">
        <v>25956</v>
      </c>
      <c r="O364" s="2"/>
      <c r="P364" s="2"/>
      <c r="Q364" s="2">
        <v>9862</v>
      </c>
      <c r="R364" s="2">
        <v>5028</v>
      </c>
      <c r="S364" s="2"/>
      <c r="T364" s="2">
        <v>3300</v>
      </c>
      <c r="U364" s="2"/>
      <c r="V364" s="2">
        <v>1786</v>
      </c>
      <c r="W364" s="2"/>
      <c r="X364" s="2"/>
      <c r="Y364" s="2">
        <v>2061</v>
      </c>
      <c r="Z364" s="2">
        <f>SUM(C364:X364)</f>
        <v>0</v>
      </c>
    </row>
    <row r="365" spans="1:26">
      <c r="A365" s="1"/>
      <c r="B365" s="3" t="s">
        <v>27</v>
      </c>
      <c r="C365" s="3">
        <v>12163.92095</v>
      </c>
      <c r="D365" s="3"/>
      <c r="E365" s="3">
        <v>1482.2325</v>
      </c>
      <c r="F365" s="3"/>
      <c r="G365" s="3"/>
      <c r="H365" s="3"/>
      <c r="I365" s="3"/>
      <c r="J365" s="3"/>
      <c r="K365" s="3"/>
      <c r="L365" s="3"/>
      <c r="M365" s="3">
        <v>687.35</v>
      </c>
      <c r="N365" s="3">
        <v>2385.46</v>
      </c>
      <c r="O365" s="3"/>
      <c r="P365" s="3"/>
      <c r="Q365" s="3">
        <v>801.4358000000002</v>
      </c>
      <c r="R365" s="3">
        <v>1311.231</v>
      </c>
      <c r="S365" s="3"/>
      <c r="T365" s="3">
        <v>565.05</v>
      </c>
      <c r="U365" s="3"/>
      <c r="V365" s="3">
        <v>498.8</v>
      </c>
      <c r="W365" s="3"/>
      <c r="X365" s="3"/>
      <c r="Y365" s="3">
        <v>428.285</v>
      </c>
      <c r="Z365" s="3">
        <f>SUM(C365:X365)</f>
        <v>0</v>
      </c>
    </row>
    <row r="366" spans="1:26">
      <c r="A366" s="1" t="s">
        <v>209</v>
      </c>
      <c r="B366" s="2" t="s">
        <v>26</v>
      </c>
      <c r="C366" s="2">
        <v>168845</v>
      </c>
      <c r="D366" s="2">
        <v>5349</v>
      </c>
      <c r="E366" s="2">
        <v>4223</v>
      </c>
      <c r="F366" s="2"/>
      <c r="G366" s="2"/>
      <c r="H366" s="2"/>
      <c r="I366" s="2"/>
      <c r="J366" s="2"/>
      <c r="K366" s="2"/>
      <c r="L366" s="2"/>
      <c r="M366" s="2">
        <v>10060</v>
      </c>
      <c r="N366" s="2">
        <v>50960</v>
      </c>
      <c r="O366" s="2"/>
      <c r="P366" s="2">
        <v>4030</v>
      </c>
      <c r="Q366" s="2">
        <v>6195</v>
      </c>
      <c r="R366" s="2">
        <v>5137</v>
      </c>
      <c r="S366" s="2"/>
      <c r="T366" s="2">
        <v>1600</v>
      </c>
      <c r="U366" s="2">
        <v>6093</v>
      </c>
      <c r="V366" s="2">
        <v>6170</v>
      </c>
      <c r="W366" s="2"/>
      <c r="X366" s="2"/>
      <c r="Y366" s="2">
        <v>1735</v>
      </c>
      <c r="Z366" s="2">
        <f>SUM(C366:X366)</f>
        <v>0</v>
      </c>
    </row>
    <row r="367" spans="1:26">
      <c r="A367" s="1"/>
      <c r="B367" s="3" t="s">
        <v>27</v>
      </c>
      <c r="C367" s="3">
        <v>19664.41949999999</v>
      </c>
      <c r="D367" s="3">
        <v>1410.7045</v>
      </c>
      <c r="E367" s="3">
        <v>2878.374</v>
      </c>
      <c r="F367" s="3"/>
      <c r="G367" s="3"/>
      <c r="H367" s="3"/>
      <c r="I367" s="3"/>
      <c r="J367" s="3"/>
      <c r="K367" s="3"/>
      <c r="L367" s="3"/>
      <c r="M367" s="3">
        <v>1387.6825</v>
      </c>
      <c r="N367" s="3">
        <v>4680.6909</v>
      </c>
      <c r="O367" s="3"/>
      <c r="P367" s="3">
        <v>868.89</v>
      </c>
      <c r="Q367" s="3">
        <v>569.4400899999999</v>
      </c>
      <c r="R367" s="3">
        <v>1227.546</v>
      </c>
      <c r="S367" s="3"/>
      <c r="T367" s="3">
        <v>273.6</v>
      </c>
      <c r="U367" s="3">
        <v>801.62</v>
      </c>
      <c r="V367" s="3">
        <v>1689.88</v>
      </c>
      <c r="W367" s="3"/>
      <c r="X367" s="3"/>
      <c r="Y367" s="3">
        <v>360.6200000000001</v>
      </c>
      <c r="Z367" s="3">
        <f>SUM(C367:X367)</f>
        <v>0</v>
      </c>
    </row>
    <row r="368" spans="1:26">
      <c r="A368" s="1" t="s">
        <v>210</v>
      </c>
      <c r="B368" s="2" t="s">
        <v>26</v>
      </c>
      <c r="C368" s="2">
        <v>90585</v>
      </c>
      <c r="D368" s="2">
        <v>2060</v>
      </c>
      <c r="E368" s="2">
        <v>1861</v>
      </c>
      <c r="F368" s="2"/>
      <c r="G368" s="2"/>
      <c r="H368" s="2"/>
      <c r="I368" s="2"/>
      <c r="J368" s="2"/>
      <c r="K368" s="2"/>
      <c r="L368" s="2"/>
      <c r="M368" s="2">
        <v>30140</v>
      </c>
      <c r="N368" s="2">
        <v>100882</v>
      </c>
      <c r="O368" s="2"/>
      <c r="P368" s="2">
        <v>505</v>
      </c>
      <c r="Q368" s="2">
        <v>5838</v>
      </c>
      <c r="R368" s="2">
        <v>12167</v>
      </c>
      <c r="S368" s="2"/>
      <c r="T368" s="2">
        <v>9900</v>
      </c>
      <c r="U368" s="2"/>
      <c r="V368" s="2">
        <v>3636</v>
      </c>
      <c r="W368" s="2"/>
      <c r="X368" s="2"/>
      <c r="Y368" s="2"/>
      <c r="Z368" s="2">
        <f>SUM(C368:X368)</f>
        <v>0</v>
      </c>
    </row>
    <row r="369" spans="1:26">
      <c r="A369" s="1"/>
      <c r="B369" s="3" t="s">
        <v>27</v>
      </c>
      <c r="C369" s="3">
        <v>11024.7303</v>
      </c>
      <c r="D369" s="3">
        <v>623.7201000000001</v>
      </c>
      <c r="E369" s="3">
        <v>1235.45</v>
      </c>
      <c r="F369" s="3"/>
      <c r="G369" s="3"/>
      <c r="H369" s="3"/>
      <c r="I369" s="3"/>
      <c r="J369" s="3"/>
      <c r="K369" s="3"/>
      <c r="L369" s="3"/>
      <c r="M369" s="3">
        <v>4164.820000000001</v>
      </c>
      <c r="N369" s="3">
        <v>10014.3926</v>
      </c>
      <c r="O369" s="3"/>
      <c r="P369" s="3">
        <v>77.38499999999999</v>
      </c>
      <c r="Q369" s="3">
        <v>421.2037999999999</v>
      </c>
      <c r="R369" s="3">
        <v>2688.353</v>
      </c>
      <c r="S369" s="3"/>
      <c r="T369" s="3">
        <v>1509.4</v>
      </c>
      <c r="U369" s="3"/>
      <c r="V369" s="3">
        <v>950.885</v>
      </c>
      <c r="W369" s="3"/>
      <c r="X369" s="3"/>
      <c r="Y369" s="3"/>
      <c r="Z369" s="3">
        <f>SUM(C369:X369)</f>
        <v>0</v>
      </c>
    </row>
    <row r="370" spans="1:26">
      <c r="A370" s="1" t="s">
        <v>211</v>
      </c>
      <c r="B370" s="2" t="s">
        <v>26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>
        <f>SUM(C370:X370)</f>
        <v>0</v>
      </c>
    </row>
    <row r="371" spans="1:26">
      <c r="A371" s="1"/>
      <c r="B371" s="3" t="s">
        <v>27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f>SUM(C371:X371)</f>
        <v>0</v>
      </c>
    </row>
    <row r="372" spans="1:26">
      <c r="A372" s="1" t="s">
        <v>212</v>
      </c>
      <c r="B372" s="2" t="s">
        <v>26</v>
      </c>
      <c r="C372" s="2">
        <v>50252</v>
      </c>
      <c r="D372" s="2">
        <v>5150</v>
      </c>
      <c r="E372" s="2">
        <v>3024</v>
      </c>
      <c r="F372" s="2"/>
      <c r="G372" s="2"/>
      <c r="H372" s="2"/>
      <c r="I372" s="2"/>
      <c r="J372" s="2"/>
      <c r="K372" s="2"/>
      <c r="L372" s="2"/>
      <c r="M372" s="2">
        <v>40200</v>
      </c>
      <c r="N372" s="2">
        <v>100836</v>
      </c>
      <c r="O372" s="2"/>
      <c r="P372" s="2"/>
      <c r="Q372" s="2">
        <v>2312</v>
      </c>
      <c r="R372" s="2">
        <v>15346</v>
      </c>
      <c r="S372" s="2"/>
      <c r="T372" s="2">
        <v>12000</v>
      </c>
      <c r="U372" s="2">
        <v>5278</v>
      </c>
      <c r="V372" s="2">
        <v>1324</v>
      </c>
      <c r="W372" s="2"/>
      <c r="X372" s="2"/>
      <c r="Y372" s="2">
        <v>21000</v>
      </c>
      <c r="Z372" s="2">
        <f>SUM(C372:X372)</f>
        <v>0</v>
      </c>
    </row>
    <row r="373" spans="1:26">
      <c r="A373" s="1"/>
      <c r="B373" s="3" t="s">
        <v>27</v>
      </c>
      <c r="C373" s="3">
        <v>5891.447949999998</v>
      </c>
      <c r="D373" s="3">
        <v>1184.5851</v>
      </c>
      <c r="E373" s="3">
        <v>2109.45</v>
      </c>
      <c r="F373" s="3"/>
      <c r="G373" s="3"/>
      <c r="H373" s="3"/>
      <c r="I373" s="3"/>
      <c r="J373" s="3"/>
      <c r="K373" s="3"/>
      <c r="L373" s="3"/>
      <c r="M373" s="3">
        <v>5670.285000000003</v>
      </c>
      <c r="N373" s="3">
        <v>8419.570100000001</v>
      </c>
      <c r="O373" s="3"/>
      <c r="P373" s="3"/>
      <c r="Q373" s="3">
        <v>277.96</v>
      </c>
      <c r="R373" s="3">
        <v>3282.359999999999</v>
      </c>
      <c r="S373" s="3"/>
      <c r="T373" s="3">
        <v>1782.35</v>
      </c>
      <c r="U373" s="3">
        <v>538.24</v>
      </c>
      <c r="V373" s="3">
        <v>344.24</v>
      </c>
      <c r="W373" s="3"/>
      <c r="X373" s="3"/>
      <c r="Y373" s="3">
        <v>682.5</v>
      </c>
      <c r="Z373" s="3">
        <f>SUM(C373:X373)</f>
        <v>0</v>
      </c>
    </row>
    <row r="374" spans="1:26">
      <c r="A374" s="1" t="s">
        <v>213</v>
      </c>
      <c r="B374" s="2" t="s">
        <v>26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>
        <f>SUM(C374:X374)</f>
        <v>0</v>
      </c>
    </row>
    <row r="375" spans="1:26">
      <c r="A375" s="1"/>
      <c r="B375" s="3" t="s">
        <v>27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f>SUM(C375:X375)</f>
        <v>0</v>
      </c>
    </row>
    <row r="376" spans="1:26">
      <c r="A376" s="1" t="s">
        <v>214</v>
      </c>
      <c r="B376" s="2" t="s">
        <v>26</v>
      </c>
      <c r="C376" s="2">
        <v>218598</v>
      </c>
      <c r="D376" s="2">
        <v>4303</v>
      </c>
      <c r="E376" s="2">
        <v>439</v>
      </c>
      <c r="F376" s="2"/>
      <c r="G376" s="2"/>
      <c r="H376" s="2"/>
      <c r="I376" s="2"/>
      <c r="J376" s="2"/>
      <c r="K376" s="2"/>
      <c r="L376" s="2"/>
      <c r="M376" s="2">
        <v>50070</v>
      </c>
      <c r="N376" s="2">
        <v>120251</v>
      </c>
      <c r="O376" s="2"/>
      <c r="P376" s="2"/>
      <c r="Q376" s="2">
        <v>10205</v>
      </c>
      <c r="R376" s="2">
        <v>15353</v>
      </c>
      <c r="S376" s="2"/>
      <c r="T376" s="2">
        <v>12900</v>
      </c>
      <c r="U376" s="2">
        <v>783</v>
      </c>
      <c r="V376" s="2">
        <v>3921</v>
      </c>
      <c r="W376" s="2"/>
      <c r="X376" s="2"/>
      <c r="Y376" s="2">
        <v>65359</v>
      </c>
      <c r="Z376" s="2">
        <f>SUM(C376:X376)</f>
        <v>0</v>
      </c>
    </row>
    <row r="377" spans="1:26">
      <c r="A377" s="1"/>
      <c r="B377" s="3" t="s">
        <v>27</v>
      </c>
      <c r="C377" s="3">
        <v>22347.97170000001</v>
      </c>
      <c r="D377" s="3">
        <v>1032.72</v>
      </c>
      <c r="E377" s="3">
        <v>294.13</v>
      </c>
      <c r="F377" s="3"/>
      <c r="G377" s="3"/>
      <c r="H377" s="3"/>
      <c r="I377" s="3"/>
      <c r="J377" s="3"/>
      <c r="K377" s="3"/>
      <c r="L377" s="3"/>
      <c r="M377" s="3">
        <v>7484.837500000004</v>
      </c>
      <c r="N377" s="3">
        <v>8943.438599999999</v>
      </c>
      <c r="O377" s="3"/>
      <c r="P377" s="3"/>
      <c r="Q377" s="3">
        <v>1170.2</v>
      </c>
      <c r="R377" s="3">
        <v>3419.47</v>
      </c>
      <c r="S377" s="3"/>
      <c r="T377" s="3">
        <v>1898.7</v>
      </c>
      <c r="U377" s="3">
        <v>84.56399999999999</v>
      </c>
      <c r="V377" s="3">
        <v>1029.53</v>
      </c>
      <c r="W377" s="3"/>
      <c r="X377" s="3"/>
      <c r="Y377" s="3">
        <v>3045.402</v>
      </c>
      <c r="Z377" s="3">
        <f>SUM(C377:X377)</f>
        <v>0</v>
      </c>
    </row>
    <row r="378" spans="1:26">
      <c r="A378" s="1" t="s">
        <v>215</v>
      </c>
      <c r="B378" s="2" t="s">
        <v>26</v>
      </c>
      <c r="C378" s="2">
        <v>228253</v>
      </c>
      <c r="D378" s="2">
        <v>8315</v>
      </c>
      <c r="E378" s="2">
        <v>5822</v>
      </c>
      <c r="F378" s="2"/>
      <c r="G378" s="2"/>
      <c r="H378" s="2"/>
      <c r="I378" s="2"/>
      <c r="J378" s="2"/>
      <c r="K378" s="2"/>
      <c r="L378" s="2"/>
      <c r="M378" s="2">
        <v>50600</v>
      </c>
      <c r="N378" s="2">
        <v>100900</v>
      </c>
      <c r="O378" s="2"/>
      <c r="P378" s="2"/>
      <c r="Q378" s="2">
        <v>10272</v>
      </c>
      <c r="R378" s="2">
        <v>16926</v>
      </c>
      <c r="S378" s="2"/>
      <c r="T378" s="2">
        <v>4380</v>
      </c>
      <c r="U378" s="2">
        <v>239</v>
      </c>
      <c r="V378" s="2">
        <v>3822</v>
      </c>
      <c r="W378" s="2"/>
      <c r="X378" s="2"/>
      <c r="Y378" s="2">
        <v>48396</v>
      </c>
      <c r="Z378" s="2">
        <f>SUM(C378:X378)</f>
        <v>0</v>
      </c>
    </row>
    <row r="379" spans="1:26">
      <c r="A379" s="1"/>
      <c r="B379" s="3" t="s">
        <v>27</v>
      </c>
      <c r="C379" s="3">
        <v>23343.0746</v>
      </c>
      <c r="D379" s="3">
        <v>2035.34</v>
      </c>
      <c r="E379" s="3">
        <v>4112.889999999999</v>
      </c>
      <c r="F379" s="3"/>
      <c r="G379" s="3"/>
      <c r="H379" s="3"/>
      <c r="I379" s="3"/>
      <c r="J379" s="3"/>
      <c r="K379" s="3"/>
      <c r="L379" s="3"/>
      <c r="M379" s="3">
        <v>7846.995000000001</v>
      </c>
      <c r="N379" s="3">
        <v>8009.010700000001</v>
      </c>
      <c r="O379" s="3"/>
      <c r="P379" s="3"/>
      <c r="Q379" s="3">
        <v>1355.56</v>
      </c>
      <c r="R379" s="3">
        <v>3500.685999999998</v>
      </c>
      <c r="S379" s="3"/>
      <c r="T379" s="3">
        <v>655.25</v>
      </c>
      <c r="U379" s="3">
        <v>25.812</v>
      </c>
      <c r="V379" s="3">
        <v>993.7200000000001</v>
      </c>
      <c r="W379" s="3"/>
      <c r="X379" s="3"/>
      <c r="Y379" s="3">
        <v>4002.684</v>
      </c>
      <c r="Z379" s="3">
        <f>SUM(C379:X379)</f>
        <v>0</v>
      </c>
    </row>
    <row r="380" spans="1:26">
      <c r="A380" s="1" t="s">
        <v>216</v>
      </c>
      <c r="B380" s="2" t="s">
        <v>26</v>
      </c>
      <c r="C380" s="2">
        <v>310727</v>
      </c>
      <c r="D380" s="2">
        <v>13792</v>
      </c>
      <c r="E380" s="2">
        <v>1255</v>
      </c>
      <c r="F380" s="2"/>
      <c r="G380" s="2"/>
      <c r="H380" s="2"/>
      <c r="I380" s="2"/>
      <c r="J380" s="2"/>
      <c r="K380" s="2"/>
      <c r="L380" s="2"/>
      <c r="M380" s="2">
        <v>60430</v>
      </c>
      <c r="N380" s="2">
        <v>100632</v>
      </c>
      <c r="O380" s="2"/>
      <c r="P380" s="2"/>
      <c r="Q380" s="2">
        <v>11112</v>
      </c>
      <c r="R380" s="2">
        <v>11705</v>
      </c>
      <c r="S380" s="2"/>
      <c r="T380" s="2">
        <v>4100</v>
      </c>
      <c r="U380" s="2">
        <v>7381</v>
      </c>
      <c r="V380" s="2">
        <v>8162</v>
      </c>
      <c r="W380" s="2"/>
      <c r="X380" s="2"/>
      <c r="Y380" s="2">
        <v>31407</v>
      </c>
      <c r="Z380" s="2">
        <f>SUM(C380:X380)</f>
        <v>0</v>
      </c>
    </row>
    <row r="381" spans="1:26">
      <c r="A381" s="1"/>
      <c r="B381" s="3" t="s">
        <v>27</v>
      </c>
      <c r="C381" s="3">
        <v>32229.75010000002</v>
      </c>
      <c r="D381" s="3">
        <v>2971.235</v>
      </c>
      <c r="E381" s="3">
        <v>699.1052</v>
      </c>
      <c r="F381" s="3"/>
      <c r="G381" s="3"/>
      <c r="H381" s="3"/>
      <c r="I381" s="3"/>
      <c r="J381" s="3"/>
      <c r="K381" s="3"/>
      <c r="L381" s="3"/>
      <c r="M381" s="3">
        <v>9250.880000000001</v>
      </c>
      <c r="N381" s="3">
        <v>7234.530399999999</v>
      </c>
      <c r="O381" s="3"/>
      <c r="P381" s="3"/>
      <c r="Q381" s="3">
        <v>1547.456</v>
      </c>
      <c r="R381" s="3">
        <v>2029.843</v>
      </c>
      <c r="S381" s="3"/>
      <c r="T381" s="3">
        <v>668.35</v>
      </c>
      <c r="U381" s="3">
        <v>1067.3938</v>
      </c>
      <c r="V381" s="3">
        <v>1985.7</v>
      </c>
      <c r="W381" s="3"/>
      <c r="X381" s="3"/>
      <c r="Y381" s="3">
        <v>1533.447</v>
      </c>
      <c r="Z381" s="3">
        <f>SUM(C381:X381)</f>
        <v>0</v>
      </c>
    </row>
    <row r="382" spans="1:26">
      <c r="A382" s="1" t="s">
        <v>217</v>
      </c>
      <c r="B382" s="2" t="s">
        <v>26</v>
      </c>
      <c r="C382" s="2">
        <v>291384</v>
      </c>
      <c r="D382" s="2">
        <v>18988</v>
      </c>
      <c r="E382" s="2">
        <v>336</v>
      </c>
      <c r="F382" s="2"/>
      <c r="G382" s="2"/>
      <c r="H382" s="2"/>
      <c r="I382" s="2"/>
      <c r="J382" s="2"/>
      <c r="K382" s="2"/>
      <c r="L382" s="2"/>
      <c r="M382" s="2">
        <v>60670</v>
      </c>
      <c r="N382" s="2">
        <v>91382</v>
      </c>
      <c r="O382" s="2">
        <v>12</v>
      </c>
      <c r="P382" s="2"/>
      <c r="Q382" s="2">
        <v>9691</v>
      </c>
      <c r="R382" s="2">
        <v>9675</v>
      </c>
      <c r="S382" s="2"/>
      <c r="T382" s="2">
        <v>7200</v>
      </c>
      <c r="U382" s="2">
        <v>4675</v>
      </c>
      <c r="V382" s="2">
        <v>4263</v>
      </c>
      <c r="W382" s="2"/>
      <c r="X382" s="2"/>
      <c r="Y382" s="2">
        <v>45614</v>
      </c>
      <c r="Z382" s="2">
        <f>SUM(C382:X382)</f>
        <v>0</v>
      </c>
    </row>
    <row r="383" spans="1:26">
      <c r="A383" s="1"/>
      <c r="B383" s="3" t="s">
        <v>27</v>
      </c>
      <c r="C383" s="3">
        <v>30844.82800000001</v>
      </c>
      <c r="D383" s="3">
        <v>4031.5612</v>
      </c>
      <c r="E383" s="3">
        <v>238.58</v>
      </c>
      <c r="F383" s="3"/>
      <c r="G383" s="3"/>
      <c r="H383" s="3"/>
      <c r="I383" s="3"/>
      <c r="J383" s="3"/>
      <c r="K383" s="3"/>
      <c r="L383" s="3"/>
      <c r="M383" s="3">
        <v>9575.090000000002</v>
      </c>
      <c r="N383" s="3">
        <v>7620.5995</v>
      </c>
      <c r="O383" s="3">
        <v>4.56</v>
      </c>
      <c r="P383" s="3"/>
      <c r="Q383" s="3">
        <v>1269.564760526</v>
      </c>
      <c r="R383" s="3">
        <v>2296.361</v>
      </c>
      <c r="S383" s="3"/>
      <c r="T383" s="3">
        <v>1197.8</v>
      </c>
      <c r="U383" s="3">
        <v>561.88</v>
      </c>
      <c r="V383" s="3">
        <v>994.5700000000001</v>
      </c>
      <c r="W383" s="3"/>
      <c r="X383" s="3"/>
      <c r="Y383" s="3">
        <v>2175.074</v>
      </c>
      <c r="Z383" s="3">
        <f>SUM(C383:X383)</f>
        <v>0</v>
      </c>
    </row>
    <row r="384" spans="1:26">
      <c r="A384" s="1" t="s">
        <v>218</v>
      </c>
      <c r="B384" s="2" t="s">
        <v>26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>
        <f>SUM(C384:X384)</f>
        <v>0</v>
      </c>
    </row>
    <row r="385" spans="1:26">
      <c r="A385" s="1"/>
      <c r="B385" s="3" t="s">
        <v>27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f>SUM(C385:X385)</f>
        <v>0</v>
      </c>
    </row>
    <row r="386" spans="1:26">
      <c r="A386" s="1" t="s">
        <v>219</v>
      </c>
      <c r="B386" s="2" t="s">
        <v>26</v>
      </c>
      <c r="C386" s="2">
        <v>278029</v>
      </c>
      <c r="D386" s="2">
        <v>5157</v>
      </c>
      <c r="E386" s="2">
        <v>10497</v>
      </c>
      <c r="F386" s="2"/>
      <c r="G386" s="2"/>
      <c r="H386" s="2"/>
      <c r="I386" s="2"/>
      <c r="J386" s="2"/>
      <c r="K386" s="2"/>
      <c r="L386" s="2"/>
      <c r="M386" s="2">
        <v>60980</v>
      </c>
      <c r="N386" s="2">
        <v>77063</v>
      </c>
      <c r="O386" s="2"/>
      <c r="P386" s="2">
        <v>6716</v>
      </c>
      <c r="Q386" s="2">
        <v>4101</v>
      </c>
      <c r="R386" s="2">
        <v>10126</v>
      </c>
      <c r="S386" s="2"/>
      <c r="T386" s="2">
        <v>6060</v>
      </c>
      <c r="U386" s="2">
        <v>9709</v>
      </c>
      <c r="V386" s="2">
        <v>3647</v>
      </c>
      <c r="W386" s="2"/>
      <c r="X386" s="2"/>
      <c r="Y386" s="2"/>
      <c r="Z386" s="2">
        <f>SUM(C386:X386)</f>
        <v>0</v>
      </c>
    </row>
    <row r="387" spans="1:26">
      <c r="A387" s="1"/>
      <c r="B387" s="3" t="s">
        <v>27</v>
      </c>
      <c r="C387" s="3">
        <v>29656.66200000001</v>
      </c>
      <c r="D387" s="3">
        <v>1088.1165</v>
      </c>
      <c r="E387" s="3">
        <v>6874.732600000001</v>
      </c>
      <c r="F387" s="3"/>
      <c r="G387" s="3"/>
      <c r="H387" s="3"/>
      <c r="I387" s="3"/>
      <c r="J387" s="3"/>
      <c r="K387" s="3"/>
      <c r="L387" s="3"/>
      <c r="M387" s="3">
        <v>8854.037500000006</v>
      </c>
      <c r="N387" s="3">
        <v>7862.002500000002</v>
      </c>
      <c r="O387" s="3"/>
      <c r="P387" s="3">
        <v>790.28</v>
      </c>
      <c r="Q387" s="3">
        <v>583.477011016</v>
      </c>
      <c r="R387" s="3">
        <v>2274.7465</v>
      </c>
      <c r="S387" s="3"/>
      <c r="T387" s="3">
        <v>959.21</v>
      </c>
      <c r="U387" s="3">
        <v>1160.9986</v>
      </c>
      <c r="V387" s="3">
        <v>971.75</v>
      </c>
      <c r="W387" s="3"/>
      <c r="X387" s="3"/>
      <c r="Y387" s="3"/>
      <c r="Z387" s="3">
        <f>SUM(C387:X387)</f>
        <v>0</v>
      </c>
    </row>
    <row r="388" spans="1:26">
      <c r="A388" s="1" t="s">
        <v>220</v>
      </c>
      <c r="B388" s="2" t="s">
        <v>26</v>
      </c>
      <c r="C388" s="2">
        <v>284250</v>
      </c>
      <c r="D388" s="2">
        <v>2560</v>
      </c>
      <c r="E388" s="2">
        <v>8210</v>
      </c>
      <c r="F388" s="2"/>
      <c r="G388" s="2"/>
      <c r="H388" s="2"/>
      <c r="I388" s="2"/>
      <c r="J388" s="2"/>
      <c r="K388" s="2"/>
      <c r="L388" s="2"/>
      <c r="M388" s="2">
        <v>71800</v>
      </c>
      <c r="N388" s="2">
        <v>70099</v>
      </c>
      <c r="O388" s="2"/>
      <c r="P388" s="2">
        <v>11502</v>
      </c>
      <c r="Q388" s="2">
        <v>1293</v>
      </c>
      <c r="R388" s="2">
        <v>12870</v>
      </c>
      <c r="S388" s="2"/>
      <c r="T388" s="2">
        <v>7660</v>
      </c>
      <c r="U388" s="2">
        <v>1013</v>
      </c>
      <c r="V388" s="2">
        <v>5299</v>
      </c>
      <c r="W388" s="2"/>
      <c r="X388" s="2"/>
      <c r="Y388" s="2"/>
      <c r="Z388" s="2">
        <f>SUM(C388:X388)</f>
        <v>0</v>
      </c>
    </row>
    <row r="389" spans="1:26">
      <c r="A389" s="1"/>
      <c r="B389" s="3" t="s">
        <v>27</v>
      </c>
      <c r="C389" s="3">
        <v>29723.50460000001</v>
      </c>
      <c r="D389" s="3">
        <v>801.5039999999999</v>
      </c>
      <c r="E389" s="3">
        <v>5395.812499999999</v>
      </c>
      <c r="F389" s="3"/>
      <c r="G389" s="3"/>
      <c r="H389" s="3"/>
      <c r="I389" s="3"/>
      <c r="J389" s="3"/>
      <c r="K389" s="3"/>
      <c r="L389" s="3"/>
      <c r="M389" s="3">
        <v>11042.15000000001</v>
      </c>
      <c r="N389" s="3">
        <v>6299.942600000002</v>
      </c>
      <c r="O389" s="3"/>
      <c r="P389" s="3">
        <v>1498.365</v>
      </c>
      <c r="Q389" s="3">
        <v>243.437347853</v>
      </c>
      <c r="R389" s="3">
        <v>2586.672</v>
      </c>
      <c r="S389" s="3"/>
      <c r="T389" s="3">
        <v>1158.27</v>
      </c>
      <c r="U389" s="3">
        <v>121.9652</v>
      </c>
      <c r="V389" s="3">
        <v>1380.605</v>
      </c>
      <c r="W389" s="3"/>
      <c r="X389" s="3"/>
      <c r="Y389" s="3"/>
      <c r="Z389" s="3">
        <f>SUM(C389:X389)</f>
        <v>0</v>
      </c>
    </row>
    <row r="390" spans="1:26">
      <c r="A390" s="1" t="s">
        <v>221</v>
      </c>
      <c r="B390" s="2" t="s">
        <v>26</v>
      </c>
      <c r="C390" s="2">
        <v>202575</v>
      </c>
      <c r="D390" s="2">
        <v>1635</v>
      </c>
      <c r="E390" s="2">
        <v>2123</v>
      </c>
      <c r="F390" s="2"/>
      <c r="G390" s="2"/>
      <c r="H390" s="2"/>
      <c r="I390" s="2"/>
      <c r="J390" s="2"/>
      <c r="K390" s="2"/>
      <c r="L390" s="2"/>
      <c r="M390" s="2">
        <v>70240</v>
      </c>
      <c r="N390" s="2">
        <v>27569</v>
      </c>
      <c r="O390" s="2"/>
      <c r="P390" s="2">
        <v>7414</v>
      </c>
      <c r="Q390" s="2">
        <v>2808</v>
      </c>
      <c r="R390" s="2">
        <v>9887</v>
      </c>
      <c r="S390" s="2"/>
      <c r="T390" s="2">
        <v>3830</v>
      </c>
      <c r="U390" s="2">
        <v>483</v>
      </c>
      <c r="V390" s="2"/>
      <c r="W390" s="2"/>
      <c r="X390" s="2"/>
      <c r="Y390" s="2">
        <v>27559.00002</v>
      </c>
      <c r="Z390" s="2">
        <f>SUM(C390:X390)</f>
        <v>0</v>
      </c>
    </row>
    <row r="391" spans="1:26">
      <c r="A391" s="1"/>
      <c r="B391" s="3" t="s">
        <v>27</v>
      </c>
      <c r="C391" s="3">
        <v>20484.3709</v>
      </c>
      <c r="D391" s="3">
        <v>532.1145</v>
      </c>
      <c r="E391" s="3">
        <v>1439.0794</v>
      </c>
      <c r="F391" s="3"/>
      <c r="G391" s="3"/>
      <c r="H391" s="3"/>
      <c r="I391" s="3"/>
      <c r="J391" s="3"/>
      <c r="K391" s="3"/>
      <c r="L391" s="3"/>
      <c r="M391" s="3">
        <v>10355.8875</v>
      </c>
      <c r="N391" s="3">
        <v>2887.875</v>
      </c>
      <c r="O391" s="3"/>
      <c r="P391" s="3">
        <v>1173.87</v>
      </c>
      <c r="Q391" s="3">
        <v>393.9623803010001</v>
      </c>
      <c r="R391" s="3">
        <v>1664.29</v>
      </c>
      <c r="S391" s="3"/>
      <c r="T391" s="3">
        <v>558.4599999999999</v>
      </c>
      <c r="U391" s="3">
        <v>56.22320000000001</v>
      </c>
      <c r="V391" s="3"/>
      <c r="W391" s="3"/>
      <c r="X391" s="3"/>
      <c r="Y391" s="3">
        <v>2851.47800166</v>
      </c>
      <c r="Z391" s="3">
        <f>SUM(C391:X391)</f>
        <v>0</v>
      </c>
    </row>
    <row r="392" spans="1:26">
      <c r="A392" s="1" t="s">
        <v>222</v>
      </c>
      <c r="B392" s="2" t="s">
        <v>26</v>
      </c>
      <c r="C392" s="2">
        <v>180799</v>
      </c>
      <c r="D392" s="2">
        <v>45</v>
      </c>
      <c r="E392" s="2">
        <v>6183</v>
      </c>
      <c r="F392" s="2">
        <v>2016</v>
      </c>
      <c r="G392" s="2"/>
      <c r="H392" s="2"/>
      <c r="I392" s="2"/>
      <c r="J392" s="2"/>
      <c r="K392" s="2"/>
      <c r="L392" s="2"/>
      <c r="M392" s="2">
        <v>50230</v>
      </c>
      <c r="N392" s="2">
        <v>31331</v>
      </c>
      <c r="O392" s="2"/>
      <c r="P392" s="2">
        <v>15300</v>
      </c>
      <c r="Q392" s="2">
        <v>72</v>
      </c>
      <c r="R392" s="2">
        <v>11152</v>
      </c>
      <c r="S392" s="2"/>
      <c r="T392" s="2">
        <v>1660</v>
      </c>
      <c r="U392" s="2"/>
      <c r="V392" s="2">
        <v>1249</v>
      </c>
      <c r="W392" s="2"/>
      <c r="X392" s="2"/>
      <c r="Y392" s="2">
        <v>42248</v>
      </c>
      <c r="Z392" s="2">
        <f>SUM(C392:X392)</f>
        <v>0</v>
      </c>
    </row>
    <row r="393" spans="1:26">
      <c r="A393" s="1"/>
      <c r="B393" s="3" t="s">
        <v>27</v>
      </c>
      <c r="C393" s="3">
        <v>18107.5362</v>
      </c>
      <c r="D393" s="3">
        <v>14.6135</v>
      </c>
      <c r="E393" s="3">
        <v>3645.305</v>
      </c>
      <c r="F393" s="3">
        <v>1249.92</v>
      </c>
      <c r="G393" s="3"/>
      <c r="H393" s="3"/>
      <c r="I393" s="3"/>
      <c r="J393" s="3"/>
      <c r="K393" s="3"/>
      <c r="L393" s="3"/>
      <c r="M393" s="3">
        <v>7211.192500000002</v>
      </c>
      <c r="N393" s="3">
        <v>3192.558499999999</v>
      </c>
      <c r="O393" s="3"/>
      <c r="P393" s="3">
        <v>2388.08</v>
      </c>
      <c r="Q393" s="3">
        <v>10.08</v>
      </c>
      <c r="R393" s="3">
        <v>1843.545</v>
      </c>
      <c r="S393" s="3"/>
      <c r="T393" s="3">
        <v>251.32</v>
      </c>
      <c r="U393" s="3"/>
      <c r="V393" s="3">
        <v>339.385</v>
      </c>
      <c r="W393" s="3"/>
      <c r="X393" s="3"/>
      <c r="Y393" s="3">
        <v>2473.8365</v>
      </c>
      <c r="Z393" s="3">
        <f>SUM(C393:X393)</f>
        <v>0</v>
      </c>
    </row>
    <row r="394" spans="1:26">
      <c r="A394" s="1" t="s">
        <v>223</v>
      </c>
      <c r="B394" s="2" t="s">
        <v>26</v>
      </c>
      <c r="C394" s="2">
        <v>61952</v>
      </c>
      <c r="D394" s="2">
        <v>833</v>
      </c>
      <c r="E394" s="2">
        <v>2576</v>
      </c>
      <c r="F394" s="2"/>
      <c r="G394" s="2"/>
      <c r="H394" s="2"/>
      <c r="I394" s="2"/>
      <c r="J394" s="2"/>
      <c r="K394" s="2"/>
      <c r="L394" s="2"/>
      <c r="M394" s="2">
        <v>50300</v>
      </c>
      <c r="N394" s="2">
        <v>40592</v>
      </c>
      <c r="O394" s="2"/>
      <c r="P394" s="2">
        <v>14995</v>
      </c>
      <c r="Q394" s="2">
        <v>9667</v>
      </c>
      <c r="R394" s="2">
        <v>5497</v>
      </c>
      <c r="S394" s="2"/>
      <c r="T394" s="2"/>
      <c r="U394" s="2"/>
      <c r="V394" s="2">
        <v>627</v>
      </c>
      <c r="W394" s="2"/>
      <c r="X394" s="2"/>
      <c r="Y394" s="2">
        <v>69905</v>
      </c>
      <c r="Z394" s="2">
        <f>SUM(C394:X394)</f>
        <v>0</v>
      </c>
    </row>
    <row r="395" spans="1:26">
      <c r="A395" s="1"/>
      <c r="B395" s="3" t="s">
        <v>27</v>
      </c>
      <c r="C395" s="3">
        <v>6496.872300000001</v>
      </c>
      <c r="D395" s="3">
        <v>242.221</v>
      </c>
      <c r="E395" s="3">
        <v>1613.1737</v>
      </c>
      <c r="F395" s="3"/>
      <c r="G395" s="3"/>
      <c r="H395" s="3"/>
      <c r="I395" s="3"/>
      <c r="J395" s="3"/>
      <c r="K395" s="3"/>
      <c r="L395" s="3"/>
      <c r="M395" s="3">
        <v>6991.655000000002</v>
      </c>
      <c r="N395" s="3">
        <v>4301.169000000001</v>
      </c>
      <c r="O395" s="3"/>
      <c r="P395" s="3">
        <v>2068.235</v>
      </c>
      <c r="Q395" s="3">
        <v>1100.765</v>
      </c>
      <c r="R395" s="3">
        <v>850.9499999999999</v>
      </c>
      <c r="S395" s="3"/>
      <c r="T395" s="3"/>
      <c r="U395" s="3"/>
      <c r="V395" s="3">
        <v>166.155</v>
      </c>
      <c r="W395" s="3"/>
      <c r="X395" s="3"/>
      <c r="Y395" s="3">
        <v>6978.610500000001</v>
      </c>
      <c r="Z395" s="3">
        <f>SUM(C395:X395)</f>
        <v>0</v>
      </c>
    </row>
    <row r="396" spans="1:26">
      <c r="A396" s="1" t="s">
        <v>224</v>
      </c>
      <c r="B396" s="2" t="s">
        <v>26</v>
      </c>
      <c r="C396" s="2">
        <v>94850</v>
      </c>
      <c r="D396" s="2">
        <v>2440</v>
      </c>
      <c r="E396" s="2">
        <v>1939</v>
      </c>
      <c r="F396" s="2"/>
      <c r="G396" s="2"/>
      <c r="H396" s="2"/>
      <c r="I396" s="2"/>
      <c r="J396" s="2"/>
      <c r="K396" s="2"/>
      <c r="L396" s="2"/>
      <c r="M396" s="2">
        <v>50900</v>
      </c>
      <c r="N396" s="2">
        <v>40870</v>
      </c>
      <c r="O396" s="2"/>
      <c r="P396" s="2">
        <v>13578</v>
      </c>
      <c r="Q396" s="2">
        <v>5748</v>
      </c>
      <c r="R396" s="2">
        <v>13518</v>
      </c>
      <c r="S396" s="2"/>
      <c r="T396" s="2"/>
      <c r="U396" s="2">
        <v>6041</v>
      </c>
      <c r="V396" s="2"/>
      <c r="W396" s="2"/>
      <c r="X396" s="2"/>
      <c r="Y396" s="2">
        <v>13327</v>
      </c>
      <c r="Z396" s="2">
        <f>SUM(C396:X396)</f>
        <v>0</v>
      </c>
    </row>
    <row r="397" spans="1:26">
      <c r="A397" s="1"/>
      <c r="B397" s="3" t="s">
        <v>27</v>
      </c>
      <c r="C397" s="3">
        <v>9842.392899999999</v>
      </c>
      <c r="D397" s="3">
        <v>697.9174999999999</v>
      </c>
      <c r="E397" s="3">
        <v>1278.9904</v>
      </c>
      <c r="F397" s="3"/>
      <c r="G397" s="3"/>
      <c r="H397" s="3"/>
      <c r="I397" s="3"/>
      <c r="J397" s="3"/>
      <c r="K397" s="3"/>
      <c r="L397" s="3"/>
      <c r="M397" s="3">
        <v>7338.320000000002</v>
      </c>
      <c r="N397" s="3">
        <v>3901.687600000001</v>
      </c>
      <c r="O397" s="3"/>
      <c r="P397" s="3">
        <v>1809.357</v>
      </c>
      <c r="Q397" s="3">
        <v>675.164</v>
      </c>
      <c r="R397" s="3">
        <v>3137.160627273707</v>
      </c>
      <c r="S397" s="3"/>
      <c r="T397" s="3"/>
      <c r="U397" s="3">
        <v>694.715</v>
      </c>
      <c r="V397" s="3"/>
      <c r="W397" s="3"/>
      <c r="X397" s="3"/>
      <c r="Y397" s="3">
        <v>1381.594</v>
      </c>
      <c r="Z397" s="3">
        <f>SUM(C397:X397)</f>
        <v>0</v>
      </c>
    </row>
    <row r="398" spans="1:26">
      <c r="A398" s="1" t="s">
        <v>225</v>
      </c>
      <c r="B398" s="2" t="s">
        <v>26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>
        <f>SUM(C398:X398)</f>
        <v>0</v>
      </c>
    </row>
    <row r="399" spans="1:26">
      <c r="A399" s="1"/>
      <c r="B399" s="3" t="s">
        <v>27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f>SUM(C399:X399)</f>
        <v>0</v>
      </c>
    </row>
    <row r="400" spans="1:26">
      <c r="A400" s="1" t="s">
        <v>226</v>
      </c>
      <c r="B400" s="2" t="s">
        <v>26</v>
      </c>
      <c r="C400" s="2">
        <v>159539</v>
      </c>
      <c r="D400" s="2">
        <v>8176</v>
      </c>
      <c r="E400" s="2">
        <v>396</v>
      </c>
      <c r="F400" s="2"/>
      <c r="G400" s="2"/>
      <c r="H400" s="2"/>
      <c r="I400" s="2"/>
      <c r="J400" s="2"/>
      <c r="K400" s="2"/>
      <c r="L400" s="2"/>
      <c r="M400" s="2">
        <v>36600</v>
      </c>
      <c r="N400" s="2">
        <v>60020</v>
      </c>
      <c r="O400" s="2"/>
      <c r="P400" s="2">
        <v>19538</v>
      </c>
      <c r="Q400" s="2">
        <v>962</v>
      </c>
      <c r="R400" s="2">
        <v>5523</v>
      </c>
      <c r="S400" s="2">
        <v>5308</v>
      </c>
      <c r="T400" s="2"/>
      <c r="U400" s="2">
        <v>3138</v>
      </c>
      <c r="V400" s="2"/>
      <c r="W400" s="2"/>
      <c r="X400" s="2"/>
      <c r="Y400" s="2">
        <v>9623</v>
      </c>
      <c r="Z400" s="2">
        <f>SUM(C400:X400)</f>
        <v>0</v>
      </c>
    </row>
    <row r="401" spans="1:26">
      <c r="A401" s="1"/>
      <c r="B401" s="3" t="s">
        <v>27</v>
      </c>
      <c r="C401" s="3">
        <v>16485.0404</v>
      </c>
      <c r="D401" s="3">
        <v>1857.6326</v>
      </c>
      <c r="E401" s="3">
        <v>295.6536</v>
      </c>
      <c r="F401" s="3"/>
      <c r="G401" s="3"/>
      <c r="H401" s="3"/>
      <c r="I401" s="3"/>
      <c r="J401" s="3"/>
      <c r="K401" s="3"/>
      <c r="L401" s="3"/>
      <c r="M401" s="3">
        <v>5267.780000000001</v>
      </c>
      <c r="N401" s="3">
        <v>5342.2535</v>
      </c>
      <c r="O401" s="3"/>
      <c r="P401" s="3">
        <v>2606.045000000001</v>
      </c>
      <c r="Q401" s="3">
        <v>115.44</v>
      </c>
      <c r="R401" s="3">
        <v>1732.959259739359</v>
      </c>
      <c r="S401" s="3">
        <v>504.26</v>
      </c>
      <c r="T401" s="3"/>
      <c r="U401" s="3">
        <v>360.87</v>
      </c>
      <c r="V401" s="3"/>
      <c r="W401" s="3"/>
      <c r="X401" s="3"/>
      <c r="Y401" s="3">
        <v>985.0309999999999</v>
      </c>
      <c r="Z401" s="3">
        <f>SUM(C401:X401)</f>
        <v>0</v>
      </c>
    </row>
    <row r="402" spans="1:26">
      <c r="A402" s="1" t="s">
        <v>227</v>
      </c>
      <c r="B402" s="2" t="s">
        <v>26</v>
      </c>
      <c r="C402" s="2">
        <v>139042</v>
      </c>
      <c r="D402" s="2">
        <v>2467</v>
      </c>
      <c r="E402" s="2">
        <v>1841</v>
      </c>
      <c r="F402" s="2"/>
      <c r="G402" s="2"/>
      <c r="H402" s="2"/>
      <c r="I402" s="2"/>
      <c r="J402" s="2"/>
      <c r="K402" s="2"/>
      <c r="L402" s="2"/>
      <c r="M402" s="2">
        <v>45570</v>
      </c>
      <c r="N402" s="2">
        <v>81197</v>
      </c>
      <c r="O402" s="2"/>
      <c r="P402" s="2">
        <v>7312</v>
      </c>
      <c r="Q402" s="2">
        <v>10060</v>
      </c>
      <c r="R402" s="2">
        <v>12170</v>
      </c>
      <c r="S402" s="2">
        <v>993</v>
      </c>
      <c r="T402" s="2"/>
      <c r="U402" s="2">
        <v>6181</v>
      </c>
      <c r="V402" s="2">
        <v>3315</v>
      </c>
      <c r="W402" s="2"/>
      <c r="X402" s="2"/>
      <c r="Y402" s="2">
        <v>25053</v>
      </c>
      <c r="Z402" s="2">
        <f>SUM(C402:X402)</f>
        <v>0</v>
      </c>
    </row>
    <row r="403" spans="1:26">
      <c r="A403" s="1"/>
      <c r="B403" s="3" t="s">
        <v>27</v>
      </c>
      <c r="C403" s="3">
        <v>15094.016</v>
      </c>
      <c r="D403" s="3">
        <v>553.8900000000001</v>
      </c>
      <c r="E403" s="3">
        <v>1373.17</v>
      </c>
      <c r="F403" s="3"/>
      <c r="G403" s="3"/>
      <c r="H403" s="3"/>
      <c r="I403" s="3"/>
      <c r="J403" s="3"/>
      <c r="K403" s="3"/>
      <c r="L403" s="3"/>
      <c r="M403" s="3">
        <v>6571.670000000001</v>
      </c>
      <c r="N403" s="3">
        <v>7956.487500000001</v>
      </c>
      <c r="O403" s="3"/>
      <c r="P403" s="3">
        <v>1029.335</v>
      </c>
      <c r="Q403" s="3">
        <v>1133.654</v>
      </c>
      <c r="R403" s="3">
        <v>4030.056339857654</v>
      </c>
      <c r="S403" s="3">
        <v>94.33500000000001</v>
      </c>
      <c r="T403" s="3"/>
      <c r="U403" s="3">
        <v>710.8150000000001</v>
      </c>
      <c r="V403" s="3">
        <v>696.15</v>
      </c>
      <c r="W403" s="3"/>
      <c r="X403" s="3"/>
      <c r="Y403" s="3">
        <v>1030.726</v>
      </c>
      <c r="Z403" s="3">
        <f>SUM(C403:X403)</f>
        <v>0</v>
      </c>
    </row>
    <row r="404" spans="1:26">
      <c r="A404" s="1" t="s">
        <v>228</v>
      </c>
      <c r="B404" s="2" t="s">
        <v>26</v>
      </c>
      <c r="C404" s="2">
        <v>186531</v>
      </c>
      <c r="D404" s="2">
        <v>8084</v>
      </c>
      <c r="E404" s="2">
        <v>4966</v>
      </c>
      <c r="F404" s="2"/>
      <c r="G404" s="2"/>
      <c r="H404" s="2"/>
      <c r="I404" s="2"/>
      <c r="J404" s="2"/>
      <c r="K404" s="2"/>
      <c r="L404" s="2"/>
      <c r="M404" s="2">
        <v>50380</v>
      </c>
      <c r="N404" s="2">
        <v>80524</v>
      </c>
      <c r="O404" s="2"/>
      <c r="P404" s="2">
        <v>3101</v>
      </c>
      <c r="Q404" s="2">
        <v>14914</v>
      </c>
      <c r="R404" s="2">
        <v>5322</v>
      </c>
      <c r="S404" s="2"/>
      <c r="T404" s="2"/>
      <c r="U404" s="2">
        <v>15209</v>
      </c>
      <c r="V404" s="2">
        <v>3490</v>
      </c>
      <c r="W404" s="2"/>
      <c r="X404" s="2"/>
      <c r="Y404" s="2">
        <v>12492</v>
      </c>
      <c r="Z404" s="2">
        <f>SUM(C404:X404)</f>
        <v>0</v>
      </c>
    </row>
    <row r="405" spans="1:26">
      <c r="A405" s="1"/>
      <c r="B405" s="3" t="s">
        <v>27</v>
      </c>
      <c r="C405" s="3">
        <v>20891.23650000001</v>
      </c>
      <c r="D405" s="3">
        <v>1823.53</v>
      </c>
      <c r="E405" s="3">
        <v>3197.5714</v>
      </c>
      <c r="F405" s="3"/>
      <c r="G405" s="3"/>
      <c r="H405" s="3"/>
      <c r="I405" s="3"/>
      <c r="J405" s="3"/>
      <c r="K405" s="3"/>
      <c r="L405" s="3"/>
      <c r="M405" s="3">
        <v>6154.280000000002</v>
      </c>
      <c r="N405" s="3">
        <v>7244.077710757049</v>
      </c>
      <c r="O405" s="3"/>
      <c r="P405" s="3">
        <v>508.724</v>
      </c>
      <c r="Q405" s="3">
        <v>1789.9672</v>
      </c>
      <c r="R405" s="3">
        <v>1840.700515206006</v>
      </c>
      <c r="S405" s="3"/>
      <c r="T405" s="3"/>
      <c r="U405" s="3">
        <v>1749.035</v>
      </c>
      <c r="V405" s="3">
        <v>732.8999999999999</v>
      </c>
      <c r="W405" s="3"/>
      <c r="X405" s="3"/>
      <c r="Y405" s="3">
        <v>691.5390000000001</v>
      </c>
      <c r="Z405" s="3">
        <f>SUM(C405:X405)</f>
        <v>0</v>
      </c>
    </row>
    <row r="406" spans="1:26">
      <c r="A406" s="1" t="s">
        <v>229</v>
      </c>
      <c r="B406" s="2" t="s">
        <v>26</v>
      </c>
      <c r="C406" s="2">
        <v>161118</v>
      </c>
      <c r="D406" s="2">
        <v>6669</v>
      </c>
      <c r="E406" s="2">
        <v>5258</v>
      </c>
      <c r="F406" s="2"/>
      <c r="G406" s="2"/>
      <c r="H406" s="2"/>
      <c r="I406" s="2"/>
      <c r="J406" s="2"/>
      <c r="K406" s="2"/>
      <c r="L406" s="2"/>
      <c r="M406" s="2">
        <v>50175</v>
      </c>
      <c r="N406" s="2">
        <v>80341</v>
      </c>
      <c r="O406" s="2"/>
      <c r="P406" s="2">
        <v>1486</v>
      </c>
      <c r="Q406" s="2">
        <v>17243</v>
      </c>
      <c r="R406" s="2">
        <v>13083</v>
      </c>
      <c r="S406" s="2"/>
      <c r="T406" s="2"/>
      <c r="U406" s="2">
        <v>3694</v>
      </c>
      <c r="V406" s="2">
        <v>7399</v>
      </c>
      <c r="W406" s="2"/>
      <c r="X406" s="2"/>
      <c r="Y406" s="2"/>
      <c r="Z406" s="2">
        <f>SUM(C406:X406)</f>
        <v>0</v>
      </c>
    </row>
    <row r="407" spans="1:26">
      <c r="A407" s="1"/>
      <c r="B407" s="3" t="s">
        <v>27</v>
      </c>
      <c r="C407" s="3">
        <v>17107.47349999999</v>
      </c>
      <c r="D407" s="3">
        <v>1867.2519</v>
      </c>
      <c r="E407" s="3">
        <v>4318.924</v>
      </c>
      <c r="F407" s="3"/>
      <c r="G407" s="3"/>
      <c r="H407" s="3"/>
      <c r="I407" s="3"/>
      <c r="J407" s="3"/>
      <c r="K407" s="3"/>
      <c r="L407" s="3"/>
      <c r="M407" s="3">
        <v>6353.669000000001</v>
      </c>
      <c r="N407" s="3">
        <v>7329.636781239033</v>
      </c>
      <c r="O407" s="3"/>
      <c r="P407" s="3">
        <v>298.686</v>
      </c>
      <c r="Q407" s="3">
        <v>1904.7008</v>
      </c>
      <c r="R407" s="3">
        <v>2932.948316583741</v>
      </c>
      <c r="S407" s="3"/>
      <c r="T407" s="3"/>
      <c r="U407" s="3">
        <v>421.831</v>
      </c>
      <c r="V407" s="3">
        <v>1634.64</v>
      </c>
      <c r="W407" s="3"/>
      <c r="X407" s="3"/>
      <c r="Y407" s="3"/>
      <c r="Z407" s="3">
        <f>SUM(C407:X407)</f>
        <v>0</v>
      </c>
    </row>
    <row r="408" spans="1:26">
      <c r="A408" s="1" t="s">
        <v>230</v>
      </c>
      <c r="B408" s="2" t="s">
        <v>26</v>
      </c>
      <c r="C408" s="2">
        <v>167668</v>
      </c>
      <c r="D408" s="2">
        <v>12389</v>
      </c>
      <c r="E408" s="2">
        <v>1796</v>
      </c>
      <c r="F408" s="2"/>
      <c r="G408" s="2"/>
      <c r="H408" s="2"/>
      <c r="I408" s="2"/>
      <c r="J408" s="2"/>
      <c r="K408" s="2"/>
      <c r="L408" s="2"/>
      <c r="M408" s="2">
        <v>50300</v>
      </c>
      <c r="N408" s="2">
        <v>100985</v>
      </c>
      <c r="O408" s="2"/>
      <c r="P408" s="2">
        <v>5922</v>
      </c>
      <c r="Q408" s="2">
        <v>11269</v>
      </c>
      <c r="R408" s="2">
        <v>18241</v>
      </c>
      <c r="S408" s="2"/>
      <c r="T408" s="2"/>
      <c r="U408" s="2">
        <v>2300</v>
      </c>
      <c r="V408" s="2">
        <v>2370</v>
      </c>
      <c r="W408" s="2"/>
      <c r="X408" s="2"/>
      <c r="Y408" s="2">
        <v>36585</v>
      </c>
      <c r="Z408" s="2">
        <f>SUM(C408:X408)</f>
        <v>0</v>
      </c>
    </row>
    <row r="409" spans="1:26">
      <c r="A409" s="1"/>
      <c r="B409" s="3" t="s">
        <v>27</v>
      </c>
      <c r="C409" s="3">
        <v>18326.22665</v>
      </c>
      <c r="D409" s="3">
        <v>2821.432500000001</v>
      </c>
      <c r="E409" s="3">
        <v>1249.588</v>
      </c>
      <c r="F409" s="3"/>
      <c r="G409" s="3"/>
      <c r="H409" s="3"/>
      <c r="I409" s="3"/>
      <c r="J409" s="3"/>
      <c r="K409" s="3"/>
      <c r="L409" s="3"/>
      <c r="M409" s="3">
        <v>5505.530000000002</v>
      </c>
      <c r="N409" s="3">
        <v>7852.045499999997</v>
      </c>
      <c r="O409" s="3"/>
      <c r="P409" s="3">
        <v>784.302</v>
      </c>
      <c r="Q409" s="3">
        <v>1416.754</v>
      </c>
      <c r="R409" s="3">
        <v>3777.91842573024</v>
      </c>
      <c r="S409" s="3"/>
      <c r="T409" s="3"/>
      <c r="U409" s="3">
        <v>250.7</v>
      </c>
      <c r="V409" s="3">
        <v>505.75</v>
      </c>
      <c r="W409" s="3"/>
      <c r="X409" s="3"/>
      <c r="Y409" s="3">
        <v>1851.9635</v>
      </c>
      <c r="Z409" s="3">
        <f>SUM(C409:X409)</f>
        <v>0</v>
      </c>
    </row>
    <row r="410" spans="1:26">
      <c r="A410" s="1" t="s">
        <v>231</v>
      </c>
      <c r="B410" s="2" t="s">
        <v>26</v>
      </c>
      <c r="C410" s="2">
        <v>158336</v>
      </c>
      <c r="D410" s="2">
        <v>19009</v>
      </c>
      <c r="E410" s="2">
        <v>6648</v>
      </c>
      <c r="F410" s="2"/>
      <c r="G410" s="2"/>
      <c r="H410" s="2"/>
      <c r="I410" s="2"/>
      <c r="J410" s="2"/>
      <c r="K410" s="2"/>
      <c r="L410" s="2"/>
      <c r="M410" s="2">
        <v>60500</v>
      </c>
      <c r="N410" s="2">
        <v>101034</v>
      </c>
      <c r="O410" s="2"/>
      <c r="P410" s="2">
        <v>13221</v>
      </c>
      <c r="Q410" s="2">
        <v>8149</v>
      </c>
      <c r="R410" s="2">
        <v>12368</v>
      </c>
      <c r="S410" s="2"/>
      <c r="T410" s="2"/>
      <c r="U410" s="2">
        <v>378</v>
      </c>
      <c r="V410" s="2"/>
      <c r="W410" s="2"/>
      <c r="X410" s="2"/>
      <c r="Y410" s="2"/>
      <c r="Z410" s="2">
        <f>SUM(C410:X410)</f>
        <v>0</v>
      </c>
    </row>
    <row r="411" spans="1:26">
      <c r="A411" s="1"/>
      <c r="B411" s="3" t="s">
        <v>27</v>
      </c>
      <c r="C411" s="3">
        <v>16149.07029999999</v>
      </c>
      <c r="D411" s="3">
        <v>4184.736</v>
      </c>
      <c r="E411" s="3">
        <v>4925.664000000001</v>
      </c>
      <c r="F411" s="3"/>
      <c r="G411" s="3"/>
      <c r="H411" s="3"/>
      <c r="I411" s="3"/>
      <c r="J411" s="3"/>
      <c r="K411" s="3"/>
      <c r="L411" s="3"/>
      <c r="M411" s="3">
        <v>8524.650000000001</v>
      </c>
      <c r="N411" s="3">
        <v>6555.277567998321</v>
      </c>
      <c r="O411" s="3"/>
      <c r="P411" s="3">
        <v>1656.385</v>
      </c>
      <c r="Q411" s="3">
        <v>1052.5958</v>
      </c>
      <c r="R411" s="3">
        <v>2164.757042888361</v>
      </c>
      <c r="S411" s="3"/>
      <c r="T411" s="3"/>
      <c r="U411" s="3">
        <v>41.202</v>
      </c>
      <c r="V411" s="3"/>
      <c r="W411" s="3"/>
      <c r="X411" s="3"/>
      <c r="Y411" s="3"/>
      <c r="Z411" s="3">
        <f>SUM(C411:X411)</f>
        <v>0</v>
      </c>
    </row>
    <row r="412" spans="1:26">
      <c r="A412" s="1" t="s">
        <v>232</v>
      </c>
      <c r="B412" s="2" t="s">
        <v>26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>
        <f>SUM(C412:X412)</f>
        <v>0</v>
      </c>
    </row>
    <row r="413" spans="1:26">
      <c r="A413" s="1"/>
      <c r="B413" s="3" t="s">
        <v>27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f>SUM(C413:X413)</f>
        <v>0</v>
      </c>
    </row>
    <row r="414" spans="1:26">
      <c r="A414" s="1" t="s">
        <v>233</v>
      </c>
      <c r="B414" s="2" t="s">
        <v>26</v>
      </c>
      <c r="C414" s="2">
        <v>145524</v>
      </c>
      <c r="D414" s="2">
        <v>9815</v>
      </c>
      <c r="E414" s="2">
        <v>4123</v>
      </c>
      <c r="F414" s="2"/>
      <c r="G414" s="2"/>
      <c r="H414" s="2"/>
      <c r="I414" s="2"/>
      <c r="J414" s="2"/>
      <c r="K414" s="2"/>
      <c r="L414" s="2"/>
      <c r="M414" s="2">
        <v>60600</v>
      </c>
      <c r="N414" s="2">
        <v>138228</v>
      </c>
      <c r="O414" s="2"/>
      <c r="P414" s="2">
        <v>18705</v>
      </c>
      <c r="Q414" s="2">
        <v>46</v>
      </c>
      <c r="R414" s="2">
        <v>12208</v>
      </c>
      <c r="S414" s="2"/>
      <c r="T414" s="2"/>
      <c r="U414" s="2">
        <v>8734</v>
      </c>
      <c r="V414" s="2">
        <v>1449</v>
      </c>
      <c r="W414" s="2"/>
      <c r="X414" s="2"/>
      <c r="Y414" s="2">
        <v>15008</v>
      </c>
      <c r="Z414" s="2">
        <f>SUM(C414:X414)</f>
        <v>0</v>
      </c>
    </row>
    <row r="415" spans="1:26">
      <c r="A415" s="1"/>
      <c r="B415" s="3" t="s">
        <v>27</v>
      </c>
      <c r="C415" s="3">
        <v>14889.3958</v>
      </c>
      <c r="D415" s="3">
        <v>1890.813999999999</v>
      </c>
      <c r="E415" s="3">
        <v>2525.7564</v>
      </c>
      <c r="F415" s="3"/>
      <c r="G415" s="3"/>
      <c r="H415" s="3"/>
      <c r="I415" s="3"/>
      <c r="J415" s="3"/>
      <c r="K415" s="3"/>
      <c r="L415" s="3"/>
      <c r="M415" s="3">
        <v>8396.610000000004</v>
      </c>
      <c r="N415" s="3">
        <v>10452.4504</v>
      </c>
      <c r="O415" s="3"/>
      <c r="P415" s="3">
        <v>2244.6</v>
      </c>
      <c r="Q415" s="3">
        <v>9.200000000000001</v>
      </c>
      <c r="R415" s="3">
        <v>2617.718772727374</v>
      </c>
      <c r="S415" s="3"/>
      <c r="T415" s="3"/>
      <c r="U415" s="3">
        <v>873.4000000000001</v>
      </c>
      <c r="V415" s="3">
        <v>304.29</v>
      </c>
      <c r="W415" s="3"/>
      <c r="X415" s="3"/>
      <c r="Y415" s="3">
        <v>1116.9245</v>
      </c>
      <c r="Z415" s="3">
        <f>SUM(C415:X415)</f>
        <v>0</v>
      </c>
    </row>
    <row r="416" spans="1:26">
      <c r="A416" s="1" t="s">
        <v>234</v>
      </c>
      <c r="B416" s="2" t="s">
        <v>26</v>
      </c>
      <c r="C416" s="2">
        <v>148652</v>
      </c>
      <c r="D416" s="2">
        <v>3827</v>
      </c>
      <c r="E416" s="2">
        <v>5067</v>
      </c>
      <c r="F416" s="2"/>
      <c r="G416" s="2"/>
      <c r="H416" s="2"/>
      <c r="I416" s="2"/>
      <c r="J416" s="2"/>
      <c r="K416" s="2"/>
      <c r="L416" s="2"/>
      <c r="M416" s="2">
        <v>60100</v>
      </c>
      <c r="N416" s="2">
        <v>104401</v>
      </c>
      <c r="O416" s="2"/>
      <c r="P416" s="2">
        <v>17917</v>
      </c>
      <c r="Q416" s="2">
        <v>5759</v>
      </c>
      <c r="R416" s="2">
        <v>15291</v>
      </c>
      <c r="S416" s="2"/>
      <c r="T416" s="2">
        <v>2000</v>
      </c>
      <c r="U416" s="2">
        <v>10706</v>
      </c>
      <c r="V416" s="2">
        <v>6408</v>
      </c>
      <c r="W416" s="2"/>
      <c r="X416" s="2"/>
      <c r="Y416" s="2">
        <v>13313</v>
      </c>
      <c r="Z416" s="2">
        <f>SUM(C416:X416)</f>
        <v>0</v>
      </c>
    </row>
    <row r="417" spans="1:26">
      <c r="A417" s="1"/>
      <c r="B417" s="3" t="s">
        <v>27</v>
      </c>
      <c r="C417" s="3">
        <v>16254.5612</v>
      </c>
      <c r="D417" s="3">
        <v>812.395</v>
      </c>
      <c r="E417" s="3">
        <v>2880.749000000001</v>
      </c>
      <c r="F417" s="3"/>
      <c r="G417" s="3"/>
      <c r="H417" s="3"/>
      <c r="I417" s="3"/>
      <c r="J417" s="3"/>
      <c r="K417" s="3"/>
      <c r="L417" s="3"/>
      <c r="M417" s="3">
        <v>8538.060000000003</v>
      </c>
      <c r="N417" s="3">
        <v>6826.369699999999</v>
      </c>
      <c r="O417" s="3"/>
      <c r="P417" s="3">
        <v>2188.737</v>
      </c>
      <c r="Q417" s="3">
        <v>929.7430000000001</v>
      </c>
      <c r="R417" s="3">
        <v>3281.9882</v>
      </c>
      <c r="S417" s="3"/>
      <c r="T417" s="3">
        <v>302.1</v>
      </c>
      <c r="U417" s="3">
        <v>1112.432</v>
      </c>
      <c r="V417" s="3">
        <v>1345.68</v>
      </c>
      <c r="W417" s="3"/>
      <c r="X417" s="3"/>
      <c r="Y417" s="3">
        <v>963.5649999999999</v>
      </c>
      <c r="Z417" s="3">
        <f>SUM(C417:X417)</f>
        <v>0</v>
      </c>
    </row>
    <row r="418" spans="1:26">
      <c r="A418" s="1" t="s">
        <v>235</v>
      </c>
      <c r="B418" s="2" t="s">
        <v>26</v>
      </c>
      <c r="C418" s="2">
        <v>166873</v>
      </c>
      <c r="D418" s="2">
        <v>9774</v>
      </c>
      <c r="E418" s="2">
        <v>4250</v>
      </c>
      <c r="F418" s="2"/>
      <c r="G418" s="2"/>
      <c r="H418" s="2"/>
      <c r="I418" s="2"/>
      <c r="J418" s="2"/>
      <c r="K418" s="2"/>
      <c r="L418" s="2"/>
      <c r="M418" s="2">
        <v>40600</v>
      </c>
      <c r="N418" s="2">
        <v>102696</v>
      </c>
      <c r="O418" s="2"/>
      <c r="P418" s="2">
        <v>8409</v>
      </c>
      <c r="Q418" s="2">
        <v>1654</v>
      </c>
      <c r="R418" s="2">
        <v>12201</v>
      </c>
      <c r="S418" s="2"/>
      <c r="T418" s="2">
        <v>1400</v>
      </c>
      <c r="U418" s="2">
        <v>9405</v>
      </c>
      <c r="V418" s="2">
        <v>8041</v>
      </c>
      <c r="W418" s="2"/>
      <c r="X418" s="2"/>
      <c r="Y418" s="2"/>
      <c r="Z418" s="2">
        <f>SUM(C418:X418)</f>
        <v>0</v>
      </c>
    </row>
    <row r="419" spans="1:26">
      <c r="A419" s="1"/>
      <c r="B419" s="3" t="s">
        <v>27</v>
      </c>
      <c r="C419" s="3">
        <v>18317.85359999999</v>
      </c>
      <c r="D419" s="3">
        <v>2244.16</v>
      </c>
      <c r="E419" s="3">
        <v>2361.9844</v>
      </c>
      <c r="F419" s="3"/>
      <c r="G419" s="3"/>
      <c r="H419" s="3"/>
      <c r="I419" s="3"/>
      <c r="J419" s="3"/>
      <c r="K419" s="3"/>
      <c r="L419" s="3"/>
      <c r="M419" s="3">
        <v>5806.649999999999</v>
      </c>
      <c r="N419" s="3">
        <v>7399.143200000001</v>
      </c>
      <c r="O419" s="3"/>
      <c r="P419" s="3">
        <v>1352.2</v>
      </c>
      <c r="Q419" s="3">
        <v>254.714</v>
      </c>
      <c r="R419" s="3">
        <v>2959.799600000001</v>
      </c>
      <c r="S419" s="3"/>
      <c r="T419" s="3">
        <v>210.1</v>
      </c>
      <c r="U419" s="3">
        <v>1047.77</v>
      </c>
      <c r="V419" s="3">
        <v>1688.61</v>
      </c>
      <c r="W419" s="3"/>
      <c r="X419" s="3"/>
      <c r="Y419" s="3"/>
      <c r="Z419" s="3">
        <f>SUM(C419:X419)</f>
        <v>0</v>
      </c>
    </row>
    <row r="420" spans="1:26">
      <c r="A420" s="1" t="s">
        <v>236</v>
      </c>
      <c r="B420" s="2" t="s">
        <v>26</v>
      </c>
      <c r="C420" s="2">
        <v>175698</v>
      </c>
      <c r="D420" s="2">
        <v>8748</v>
      </c>
      <c r="E420" s="2"/>
      <c r="F420" s="2"/>
      <c r="G420" s="2"/>
      <c r="H420" s="2"/>
      <c r="I420" s="2"/>
      <c r="J420" s="2"/>
      <c r="K420" s="2"/>
      <c r="L420" s="2"/>
      <c r="M420" s="2">
        <v>50300</v>
      </c>
      <c r="N420" s="2">
        <v>101035</v>
      </c>
      <c r="O420" s="2"/>
      <c r="P420" s="2">
        <v>19992</v>
      </c>
      <c r="Q420" s="2">
        <v>19365</v>
      </c>
      <c r="R420" s="2">
        <v>12066</v>
      </c>
      <c r="S420" s="2"/>
      <c r="T420" s="2">
        <v>1360</v>
      </c>
      <c r="U420" s="2">
        <v>18518</v>
      </c>
      <c r="V420" s="2">
        <v>2902</v>
      </c>
      <c r="W420" s="2"/>
      <c r="X420" s="2"/>
      <c r="Y420" s="2">
        <v>34000</v>
      </c>
      <c r="Z420" s="2">
        <f>SUM(C420:X420)</f>
        <v>0</v>
      </c>
    </row>
    <row r="421" spans="1:26">
      <c r="A421" s="1"/>
      <c r="B421" s="3" t="s">
        <v>27</v>
      </c>
      <c r="C421" s="3">
        <v>19225.82609999999</v>
      </c>
      <c r="D421" s="3">
        <v>2499.6778</v>
      </c>
      <c r="E421" s="3"/>
      <c r="F421" s="3"/>
      <c r="G421" s="3"/>
      <c r="H421" s="3"/>
      <c r="I421" s="3"/>
      <c r="J421" s="3"/>
      <c r="K421" s="3"/>
      <c r="L421" s="3"/>
      <c r="M421" s="3">
        <v>7355.655000000001</v>
      </c>
      <c r="N421" s="3">
        <v>8179.754800000001</v>
      </c>
      <c r="O421" s="3"/>
      <c r="P421" s="3">
        <v>3686.030000000001</v>
      </c>
      <c r="Q421" s="3">
        <v>1856.1513</v>
      </c>
      <c r="R421" s="3">
        <v>2435.0588</v>
      </c>
      <c r="S421" s="3"/>
      <c r="T421" s="3">
        <v>203.93</v>
      </c>
      <c r="U421" s="3">
        <v>1943.766</v>
      </c>
      <c r="V421" s="3">
        <v>627.645</v>
      </c>
      <c r="W421" s="3"/>
      <c r="X421" s="3"/>
      <c r="Y421" s="3">
        <v>680</v>
      </c>
      <c r="Z421" s="3">
        <f>SUM(C421:X421)</f>
        <v>0</v>
      </c>
    </row>
    <row r="422" spans="1:26">
      <c r="A422" s="1" t="s">
        <v>237</v>
      </c>
      <c r="B422" s="2" t="s">
        <v>26</v>
      </c>
      <c r="C422" s="2">
        <v>322242</v>
      </c>
      <c r="D422" s="2">
        <v>259</v>
      </c>
      <c r="E422" s="2">
        <v>3012</v>
      </c>
      <c r="F422" s="2"/>
      <c r="G422" s="2"/>
      <c r="H422" s="2"/>
      <c r="I422" s="2"/>
      <c r="J422" s="2"/>
      <c r="K422" s="2"/>
      <c r="L422" s="2"/>
      <c r="M422" s="2">
        <v>40480</v>
      </c>
      <c r="N422" s="2">
        <v>130327</v>
      </c>
      <c r="O422" s="2"/>
      <c r="P422" s="2">
        <v>1150</v>
      </c>
      <c r="Q422" s="2">
        <v>8823</v>
      </c>
      <c r="R422" s="2">
        <v>12379</v>
      </c>
      <c r="S422" s="2"/>
      <c r="T422" s="2">
        <v>100</v>
      </c>
      <c r="U422" s="2">
        <v>3001</v>
      </c>
      <c r="V422" s="2">
        <v>1569</v>
      </c>
      <c r="W422" s="2"/>
      <c r="X422" s="2"/>
      <c r="Y422" s="2"/>
      <c r="Z422" s="2">
        <f>SUM(C422:X422)</f>
        <v>0</v>
      </c>
    </row>
    <row r="423" spans="1:26">
      <c r="A423" s="1"/>
      <c r="B423" s="3" t="s">
        <v>27</v>
      </c>
      <c r="C423" s="3">
        <v>32511.2671</v>
      </c>
      <c r="D423" s="3">
        <v>68.9717</v>
      </c>
      <c r="E423" s="3">
        <v>1645.2794</v>
      </c>
      <c r="F423" s="3"/>
      <c r="G423" s="3"/>
      <c r="H423" s="3"/>
      <c r="I423" s="3"/>
      <c r="J423" s="3"/>
      <c r="K423" s="3"/>
      <c r="L423" s="3"/>
      <c r="M423" s="3">
        <v>5950.695</v>
      </c>
      <c r="N423" s="3">
        <v>10392.0234765285</v>
      </c>
      <c r="O423" s="3"/>
      <c r="P423" s="3">
        <v>166</v>
      </c>
      <c r="Q423" s="3">
        <v>1020.009</v>
      </c>
      <c r="R423" s="3">
        <v>2987.4424</v>
      </c>
      <c r="S423" s="3"/>
      <c r="T423" s="3">
        <v>16.43</v>
      </c>
      <c r="U423" s="3">
        <v>309.667</v>
      </c>
      <c r="V423" s="3">
        <v>349.9950000000001</v>
      </c>
      <c r="W423" s="3"/>
      <c r="X423" s="3"/>
      <c r="Y423" s="3"/>
      <c r="Z423" s="3">
        <f>SUM(C423:X423)</f>
        <v>0</v>
      </c>
    </row>
    <row r="424" spans="1:26">
      <c r="A424" s="1" t="s">
        <v>238</v>
      </c>
      <c r="B424" s="2" t="s">
        <v>26</v>
      </c>
      <c r="C424" s="2">
        <v>296191</v>
      </c>
      <c r="D424" s="2">
        <v>4154</v>
      </c>
      <c r="E424" s="2">
        <v>10289</v>
      </c>
      <c r="F424" s="2"/>
      <c r="G424" s="2"/>
      <c r="H424" s="2"/>
      <c r="I424" s="2"/>
      <c r="J424" s="2"/>
      <c r="K424" s="2"/>
      <c r="L424" s="2"/>
      <c r="M424" s="2">
        <v>50030</v>
      </c>
      <c r="N424" s="2">
        <v>115313</v>
      </c>
      <c r="O424" s="2"/>
      <c r="P424" s="2">
        <v>2400</v>
      </c>
      <c r="Q424" s="2">
        <v>5691</v>
      </c>
      <c r="R424" s="2">
        <v>5210</v>
      </c>
      <c r="S424" s="2"/>
      <c r="T424" s="2"/>
      <c r="U424" s="2">
        <v>7668</v>
      </c>
      <c r="V424" s="2">
        <v>542</v>
      </c>
      <c r="W424" s="2"/>
      <c r="X424" s="2"/>
      <c r="Y424" s="2">
        <v>164690</v>
      </c>
      <c r="Z424" s="2">
        <f>SUM(C424:X424)</f>
        <v>0</v>
      </c>
    </row>
    <row r="425" spans="1:26">
      <c r="A425" s="1"/>
      <c r="B425" s="3" t="s">
        <v>27</v>
      </c>
      <c r="C425" s="3">
        <v>29837.56434999999</v>
      </c>
      <c r="D425" s="3">
        <v>1038.5</v>
      </c>
      <c r="E425" s="3">
        <v>6193.9</v>
      </c>
      <c r="F425" s="3"/>
      <c r="G425" s="3"/>
      <c r="H425" s="3"/>
      <c r="I425" s="3"/>
      <c r="J425" s="3"/>
      <c r="K425" s="3"/>
      <c r="L425" s="3"/>
      <c r="M425" s="3">
        <v>7219.170500000003</v>
      </c>
      <c r="N425" s="3">
        <v>10679.831</v>
      </c>
      <c r="O425" s="3"/>
      <c r="P425" s="3">
        <v>288</v>
      </c>
      <c r="Q425" s="3">
        <v>558.3348</v>
      </c>
      <c r="R425" s="3">
        <v>1257.269</v>
      </c>
      <c r="S425" s="3"/>
      <c r="T425" s="3"/>
      <c r="U425" s="3">
        <v>788.52</v>
      </c>
      <c r="V425" s="3">
        <v>117.765</v>
      </c>
      <c r="W425" s="3"/>
      <c r="X425" s="3"/>
      <c r="Y425" s="3">
        <v>7459.46</v>
      </c>
      <c r="Z425" s="3">
        <f>SUM(C425:X425)</f>
        <v>0</v>
      </c>
    </row>
    <row r="426" spans="1:26">
      <c r="A426" s="1" t="s">
        <v>239</v>
      </c>
      <c r="B426" s="2" t="s">
        <v>26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>
        <f>SUM(C426:X426)</f>
        <v>0</v>
      </c>
    </row>
    <row r="427" spans="1:26">
      <c r="A427" s="1"/>
      <c r="B427" s="3" t="s">
        <v>27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f>SUM(C427:X427)</f>
        <v>0</v>
      </c>
    </row>
    <row r="428" spans="1:26">
      <c r="A428" s="1" t="s">
        <v>240</v>
      </c>
      <c r="B428" s="2" t="s">
        <v>26</v>
      </c>
      <c r="C428" s="2">
        <v>237132</v>
      </c>
      <c r="D428" s="2">
        <v>3165</v>
      </c>
      <c r="E428" s="2">
        <v>15096</v>
      </c>
      <c r="F428" s="2"/>
      <c r="G428" s="2"/>
      <c r="H428" s="2"/>
      <c r="I428" s="2"/>
      <c r="J428" s="2"/>
      <c r="K428" s="2"/>
      <c r="L428" s="2"/>
      <c r="M428" s="2">
        <v>50370</v>
      </c>
      <c r="N428" s="2">
        <v>152727</v>
      </c>
      <c r="O428" s="2">
        <v>3000</v>
      </c>
      <c r="P428" s="2">
        <v>12065</v>
      </c>
      <c r="Q428" s="2">
        <v>103</v>
      </c>
      <c r="R428" s="2">
        <v>10321</v>
      </c>
      <c r="S428" s="2"/>
      <c r="T428" s="2"/>
      <c r="U428" s="2"/>
      <c r="V428" s="2"/>
      <c r="W428" s="2"/>
      <c r="X428" s="2"/>
      <c r="Y428" s="2">
        <v>80</v>
      </c>
      <c r="Z428" s="2">
        <f>SUM(C428:X428)</f>
        <v>0</v>
      </c>
    </row>
    <row r="429" spans="1:26">
      <c r="A429" s="1"/>
      <c r="B429" s="3" t="s">
        <v>27</v>
      </c>
      <c r="C429" s="3">
        <v>25065.5264</v>
      </c>
      <c r="D429" s="3">
        <v>791.25</v>
      </c>
      <c r="E429" s="3">
        <v>9589.629999999997</v>
      </c>
      <c r="F429" s="3"/>
      <c r="G429" s="3"/>
      <c r="H429" s="3"/>
      <c r="I429" s="3"/>
      <c r="J429" s="3"/>
      <c r="K429" s="3"/>
      <c r="L429" s="3"/>
      <c r="M429" s="3">
        <v>7558.1825</v>
      </c>
      <c r="N429" s="3">
        <v>12245.6405</v>
      </c>
      <c r="O429" s="3">
        <v>744.431</v>
      </c>
      <c r="P429" s="3">
        <v>1930.4</v>
      </c>
      <c r="Q429" s="3">
        <v>26.78</v>
      </c>
      <c r="R429" s="3">
        <v>2859.66</v>
      </c>
      <c r="S429" s="3"/>
      <c r="T429" s="3"/>
      <c r="U429" s="3"/>
      <c r="V429" s="3"/>
      <c r="W429" s="3"/>
      <c r="X429" s="3"/>
      <c r="Y429" s="3">
        <v>2.24</v>
      </c>
      <c r="Z429" s="3">
        <f>SUM(C429:X429)</f>
        <v>0</v>
      </c>
    </row>
    <row r="430" spans="1:26">
      <c r="A430" s="1" t="s">
        <v>241</v>
      </c>
      <c r="B430" s="2" t="s">
        <v>26</v>
      </c>
      <c r="C430" s="2">
        <v>275035</v>
      </c>
      <c r="D430" s="2">
        <v>20564</v>
      </c>
      <c r="E430" s="2">
        <v>5497</v>
      </c>
      <c r="F430" s="2"/>
      <c r="G430" s="2"/>
      <c r="H430" s="2"/>
      <c r="I430" s="2"/>
      <c r="J430" s="2"/>
      <c r="K430" s="2"/>
      <c r="L430" s="2"/>
      <c r="M430" s="2">
        <v>50050</v>
      </c>
      <c r="N430" s="2">
        <v>198186</v>
      </c>
      <c r="O430" s="2"/>
      <c r="P430" s="2">
        <v>15953</v>
      </c>
      <c r="Q430" s="2"/>
      <c r="R430" s="2">
        <v>7141</v>
      </c>
      <c r="S430" s="2"/>
      <c r="T430" s="2"/>
      <c r="U430" s="2">
        <v>64</v>
      </c>
      <c r="V430" s="2"/>
      <c r="W430" s="2"/>
      <c r="X430" s="2"/>
      <c r="Y430" s="2">
        <v>322450</v>
      </c>
      <c r="Z430" s="2">
        <f>SUM(C430:X430)</f>
        <v>0</v>
      </c>
    </row>
    <row r="431" spans="1:26">
      <c r="A431" s="1"/>
      <c r="B431" s="3" t="s">
        <v>27</v>
      </c>
      <c r="C431" s="3">
        <v>26875.98330000003</v>
      </c>
      <c r="D431" s="3">
        <v>4026.0255</v>
      </c>
      <c r="E431" s="3">
        <v>2957.347</v>
      </c>
      <c r="F431" s="3"/>
      <c r="G431" s="3"/>
      <c r="H431" s="3"/>
      <c r="I431" s="3"/>
      <c r="J431" s="3"/>
      <c r="K431" s="3"/>
      <c r="L431" s="3"/>
      <c r="M431" s="3">
        <v>7155.595</v>
      </c>
      <c r="N431" s="3">
        <v>12331.7775</v>
      </c>
      <c r="O431" s="3"/>
      <c r="P431" s="3">
        <v>2483.9153</v>
      </c>
      <c r="Q431" s="3"/>
      <c r="R431" s="3">
        <v>2453.97</v>
      </c>
      <c r="S431" s="3"/>
      <c r="T431" s="3"/>
      <c r="U431" s="3">
        <v>6.4</v>
      </c>
      <c r="V431" s="3"/>
      <c r="W431" s="3"/>
      <c r="X431" s="3"/>
      <c r="Y431" s="3">
        <v>2116.35</v>
      </c>
      <c r="Z431" s="3">
        <f>SUM(C431:X431)</f>
        <v>0</v>
      </c>
    </row>
    <row r="432" spans="1:26">
      <c r="A432" s="1" t="s">
        <v>242</v>
      </c>
      <c r="B432" s="2" t="s">
        <v>26</v>
      </c>
      <c r="C432" s="2">
        <v>168101</v>
      </c>
      <c r="D432" s="2">
        <v>13665</v>
      </c>
      <c r="E432" s="2">
        <v>1351</v>
      </c>
      <c r="F432" s="2"/>
      <c r="G432" s="2"/>
      <c r="H432" s="2"/>
      <c r="I432" s="2"/>
      <c r="J432" s="2"/>
      <c r="K432" s="2"/>
      <c r="L432" s="2"/>
      <c r="M432" s="2">
        <v>38800</v>
      </c>
      <c r="N432" s="2">
        <v>157974</v>
      </c>
      <c r="O432" s="2"/>
      <c r="P432" s="2">
        <v>9486</v>
      </c>
      <c r="Q432" s="2"/>
      <c r="R432" s="2">
        <v>4913</v>
      </c>
      <c r="S432" s="2"/>
      <c r="T432" s="2"/>
      <c r="U432" s="2">
        <v>2580</v>
      </c>
      <c r="V432" s="2">
        <v>2487</v>
      </c>
      <c r="W432" s="2"/>
      <c r="X432" s="2"/>
      <c r="Y432" s="2">
        <v>217806</v>
      </c>
      <c r="Z432" s="2">
        <f>SUM(C432:X432)</f>
        <v>0</v>
      </c>
    </row>
    <row r="433" spans="1:26">
      <c r="A433" s="1"/>
      <c r="B433" s="3" t="s">
        <v>27</v>
      </c>
      <c r="C433" s="3">
        <v>16494.4669</v>
      </c>
      <c r="D433" s="3">
        <v>2594.4765</v>
      </c>
      <c r="E433" s="3">
        <v>651.5599999999999</v>
      </c>
      <c r="F433" s="3"/>
      <c r="G433" s="3"/>
      <c r="H433" s="3"/>
      <c r="I433" s="3"/>
      <c r="J433" s="3"/>
      <c r="K433" s="3"/>
      <c r="L433" s="3"/>
      <c r="M433" s="3">
        <v>5577.915</v>
      </c>
      <c r="N433" s="3">
        <v>10052.9985</v>
      </c>
      <c r="O433" s="3"/>
      <c r="P433" s="3">
        <v>1528.4106</v>
      </c>
      <c r="Q433" s="3"/>
      <c r="R433" s="3">
        <v>2192.4</v>
      </c>
      <c r="S433" s="3"/>
      <c r="T433" s="3"/>
      <c r="U433" s="3">
        <v>296.7</v>
      </c>
      <c r="V433" s="3">
        <v>522.27</v>
      </c>
      <c r="W433" s="3"/>
      <c r="X433" s="3"/>
      <c r="Y433" s="3">
        <v>6108.71</v>
      </c>
      <c r="Z433" s="3">
        <f>SUM(C433:X433)</f>
        <v>0</v>
      </c>
    </row>
    <row r="434" spans="1:26">
      <c r="A434" s="1" t="s">
        <v>243</v>
      </c>
      <c r="B434" s="2" t="s">
        <v>26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>
        <f>SUM(C434:X434)</f>
        <v>0</v>
      </c>
    </row>
    <row r="435" spans="1:26">
      <c r="A435" s="1"/>
      <c r="B435" s="3" t="s">
        <v>27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f>SUM(C435:X435)</f>
        <v>0</v>
      </c>
    </row>
    <row r="436" spans="1:26">
      <c r="A436" s="1" t="s">
        <v>244</v>
      </c>
      <c r="B436" s="2" t="s">
        <v>26</v>
      </c>
      <c r="C436" s="2">
        <v>127943</v>
      </c>
      <c r="D436" s="2"/>
      <c r="E436" s="2">
        <v>797</v>
      </c>
      <c r="F436" s="2"/>
      <c r="G436" s="2"/>
      <c r="H436" s="2"/>
      <c r="I436" s="2"/>
      <c r="J436" s="2"/>
      <c r="K436" s="2"/>
      <c r="L436" s="2"/>
      <c r="M436" s="2">
        <v>22280</v>
      </c>
      <c r="N436" s="2">
        <v>164864</v>
      </c>
      <c r="O436" s="2"/>
      <c r="P436" s="2">
        <v>2055</v>
      </c>
      <c r="Q436" s="2">
        <v>2257</v>
      </c>
      <c r="R436" s="2">
        <v>4509</v>
      </c>
      <c r="S436" s="2"/>
      <c r="T436" s="2">
        <v>1310</v>
      </c>
      <c r="U436" s="2">
        <v>1475</v>
      </c>
      <c r="V436" s="2">
        <v>5530</v>
      </c>
      <c r="W436" s="2"/>
      <c r="X436" s="2"/>
      <c r="Y436" s="2">
        <v>285895</v>
      </c>
      <c r="Z436" s="2">
        <f>SUM(C436:X436)</f>
        <v>0</v>
      </c>
    </row>
    <row r="437" spans="1:26">
      <c r="A437" s="1"/>
      <c r="B437" s="3" t="s">
        <v>27</v>
      </c>
      <c r="C437" s="3">
        <v>12664.06100000001</v>
      </c>
      <c r="D437" s="3"/>
      <c r="E437" s="3">
        <v>382.5599999999999</v>
      </c>
      <c r="F437" s="3"/>
      <c r="G437" s="3"/>
      <c r="H437" s="3"/>
      <c r="I437" s="3"/>
      <c r="J437" s="3"/>
      <c r="K437" s="3"/>
      <c r="L437" s="3"/>
      <c r="M437" s="3">
        <v>3190.420000000001</v>
      </c>
      <c r="N437" s="3">
        <v>10350.5205</v>
      </c>
      <c r="O437" s="3"/>
      <c r="P437" s="3">
        <v>355.2900000000001</v>
      </c>
      <c r="Q437" s="3">
        <v>428.83</v>
      </c>
      <c r="R437" s="3">
        <v>1534.962</v>
      </c>
      <c r="S437" s="3"/>
      <c r="T437" s="3">
        <v>199.49</v>
      </c>
      <c r="U437" s="3">
        <v>169.625</v>
      </c>
      <c r="V437" s="3">
        <v>1103.73</v>
      </c>
      <c r="W437" s="3"/>
      <c r="X437" s="3"/>
      <c r="Y437" s="3">
        <v>14165.3</v>
      </c>
      <c r="Z437" s="3">
        <f>SUM(C437:X437)</f>
        <v>0</v>
      </c>
    </row>
    <row r="438" spans="1:26">
      <c r="A438" s="1" t="s">
        <v>245</v>
      </c>
      <c r="B438" s="2" t="s">
        <v>26</v>
      </c>
      <c r="C438" s="2">
        <v>222868</v>
      </c>
      <c r="D438" s="2">
        <v>12235</v>
      </c>
      <c r="E438" s="2"/>
      <c r="F438" s="2"/>
      <c r="G438" s="2"/>
      <c r="H438" s="2"/>
      <c r="I438" s="2"/>
      <c r="J438" s="2"/>
      <c r="K438" s="2"/>
      <c r="L438" s="2"/>
      <c r="M438" s="2">
        <v>50215</v>
      </c>
      <c r="N438" s="2">
        <v>181085</v>
      </c>
      <c r="O438" s="2"/>
      <c r="P438" s="2">
        <v>1505</v>
      </c>
      <c r="Q438" s="2">
        <v>9876</v>
      </c>
      <c r="R438" s="2">
        <v>7031</v>
      </c>
      <c r="S438" s="2"/>
      <c r="T438" s="2">
        <v>2640</v>
      </c>
      <c r="U438" s="2"/>
      <c r="V438" s="2">
        <v>9031</v>
      </c>
      <c r="W438" s="2"/>
      <c r="X438" s="2"/>
      <c r="Y438" s="2">
        <v>168969</v>
      </c>
      <c r="Z438" s="2">
        <f>SUM(C438:X438)</f>
        <v>0</v>
      </c>
    </row>
    <row r="439" spans="1:26">
      <c r="A439" s="1"/>
      <c r="B439" s="3" t="s">
        <v>27</v>
      </c>
      <c r="C439" s="3">
        <v>22023.76775000002</v>
      </c>
      <c r="D439" s="3">
        <v>2870.531999999999</v>
      </c>
      <c r="E439" s="3"/>
      <c r="F439" s="3"/>
      <c r="G439" s="3"/>
      <c r="H439" s="3"/>
      <c r="I439" s="3"/>
      <c r="J439" s="3"/>
      <c r="K439" s="3"/>
      <c r="L439" s="3"/>
      <c r="M439" s="3">
        <v>6976.248000000002</v>
      </c>
      <c r="N439" s="3">
        <v>11190.6835</v>
      </c>
      <c r="O439" s="3"/>
      <c r="P439" s="3">
        <v>451.5</v>
      </c>
      <c r="Q439" s="3">
        <v>1876.44</v>
      </c>
      <c r="R439" s="3">
        <v>2451.04</v>
      </c>
      <c r="S439" s="3"/>
      <c r="T439" s="3">
        <v>430.58</v>
      </c>
      <c r="U439" s="3"/>
      <c r="V439" s="3">
        <v>1751.24</v>
      </c>
      <c r="W439" s="3"/>
      <c r="X439" s="3"/>
      <c r="Y439" s="3">
        <v>10935.64</v>
      </c>
      <c r="Z439" s="3">
        <f>SUM(C439:X439)</f>
        <v>0</v>
      </c>
    </row>
    <row r="440" spans="1:26">
      <c r="A440" s="1" t="s">
        <v>246</v>
      </c>
      <c r="B440" s="2" t="s">
        <v>26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>
        <f>SUM(C440:X440)</f>
        <v>0</v>
      </c>
    </row>
    <row r="441" spans="1:26">
      <c r="A441" s="1"/>
      <c r="B441" s="3" t="s">
        <v>27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f>SUM(C441:X441)</f>
        <v>0</v>
      </c>
    </row>
    <row r="442" spans="1:26">
      <c r="A442" s="1" t="s">
        <v>247</v>
      </c>
      <c r="B442" s="2" t="s">
        <v>26</v>
      </c>
      <c r="C442" s="2">
        <v>210231</v>
      </c>
      <c r="D442" s="2">
        <v>35833</v>
      </c>
      <c r="E442" s="2"/>
      <c r="F442" s="2"/>
      <c r="G442" s="2"/>
      <c r="H442" s="2"/>
      <c r="I442" s="2"/>
      <c r="J442" s="2"/>
      <c r="K442" s="2"/>
      <c r="L442" s="2">
        <v>2375</v>
      </c>
      <c r="M442" s="2">
        <v>50224</v>
      </c>
      <c r="N442" s="2">
        <v>202431</v>
      </c>
      <c r="O442" s="2"/>
      <c r="P442" s="2">
        <v>1000</v>
      </c>
      <c r="Q442" s="2">
        <v>7551</v>
      </c>
      <c r="R442" s="2">
        <v>10612</v>
      </c>
      <c r="S442" s="2"/>
      <c r="T442" s="2">
        <v>1100</v>
      </c>
      <c r="U442" s="2"/>
      <c r="V442" s="2">
        <v>10544</v>
      </c>
      <c r="W442" s="2"/>
      <c r="X442" s="2">
        <v>4000</v>
      </c>
      <c r="Y442" s="2">
        <v>7468</v>
      </c>
      <c r="Z442" s="2">
        <f>SUM(C442:X442)</f>
        <v>0</v>
      </c>
    </row>
    <row r="443" spans="1:26">
      <c r="A443" s="1"/>
      <c r="B443" s="3" t="s">
        <v>27</v>
      </c>
      <c r="C443" s="3">
        <v>20294.69490000002</v>
      </c>
      <c r="D443" s="3">
        <v>6761.5314</v>
      </c>
      <c r="E443" s="3"/>
      <c r="F443" s="3"/>
      <c r="G443" s="3"/>
      <c r="H443" s="3"/>
      <c r="I443" s="3"/>
      <c r="J443" s="3"/>
      <c r="K443" s="3"/>
      <c r="L443" s="3">
        <v>475</v>
      </c>
      <c r="M443" s="3">
        <v>7043.031700000003</v>
      </c>
      <c r="N443" s="3">
        <v>13309.0302</v>
      </c>
      <c r="O443" s="3"/>
      <c r="P443" s="3">
        <v>306.963</v>
      </c>
      <c r="Q443" s="3">
        <v>1434.69</v>
      </c>
      <c r="R443" s="3">
        <v>2400.1126</v>
      </c>
      <c r="S443" s="3"/>
      <c r="T443" s="3">
        <v>184.35</v>
      </c>
      <c r="U443" s="3"/>
      <c r="V443" s="3">
        <v>2101.66</v>
      </c>
      <c r="W443" s="3"/>
      <c r="X443" s="3">
        <v>2494.5</v>
      </c>
      <c r="Y443" s="3">
        <v>3509.96</v>
      </c>
      <c r="Z443" s="3">
        <f>SUM(C443:X443)</f>
        <v>0</v>
      </c>
    </row>
    <row r="444" spans="1:26">
      <c r="A444" s="1" t="s">
        <v>248</v>
      </c>
      <c r="B444" s="2" t="s">
        <v>26</v>
      </c>
      <c r="C444" s="2">
        <v>195706</v>
      </c>
      <c r="D444" s="2">
        <v>20234</v>
      </c>
      <c r="E444" s="2">
        <v>81</v>
      </c>
      <c r="F444" s="2"/>
      <c r="G444" s="2"/>
      <c r="H444" s="2"/>
      <c r="I444" s="2"/>
      <c r="J444" s="2"/>
      <c r="K444" s="2"/>
      <c r="L444" s="2">
        <v>2249</v>
      </c>
      <c r="M444" s="2">
        <v>50432</v>
      </c>
      <c r="N444" s="2">
        <v>178929</v>
      </c>
      <c r="O444" s="2"/>
      <c r="P444" s="2">
        <v>1260</v>
      </c>
      <c r="Q444" s="2">
        <v>3329</v>
      </c>
      <c r="R444" s="2">
        <v>8611</v>
      </c>
      <c r="S444" s="2"/>
      <c r="T444" s="2">
        <v>900</v>
      </c>
      <c r="U444" s="2"/>
      <c r="V444" s="2">
        <v>11696</v>
      </c>
      <c r="W444" s="2"/>
      <c r="X444" s="2"/>
      <c r="Y444" s="2">
        <v>324725</v>
      </c>
      <c r="Z444" s="2">
        <f>SUM(C444:X444)</f>
        <v>0</v>
      </c>
    </row>
    <row r="445" spans="1:26">
      <c r="A445" s="1"/>
      <c r="B445" s="3" t="s">
        <v>27</v>
      </c>
      <c r="C445" s="3">
        <v>19515.34835</v>
      </c>
      <c r="D445" s="3">
        <v>3419.7396</v>
      </c>
      <c r="E445" s="3">
        <v>52.4</v>
      </c>
      <c r="F445" s="3"/>
      <c r="G445" s="3"/>
      <c r="H445" s="3"/>
      <c r="I445" s="3"/>
      <c r="J445" s="3"/>
      <c r="K445" s="3"/>
      <c r="L445" s="3">
        <v>449.8</v>
      </c>
      <c r="M445" s="3">
        <v>6920.5631</v>
      </c>
      <c r="N445" s="3">
        <v>11326.0207</v>
      </c>
      <c r="O445" s="3"/>
      <c r="P445" s="3">
        <v>206.5</v>
      </c>
      <c r="Q445" s="3">
        <v>632.51</v>
      </c>
      <c r="R445" s="3">
        <v>2217.2186</v>
      </c>
      <c r="S445" s="3"/>
      <c r="T445" s="3">
        <v>147.15</v>
      </c>
      <c r="U445" s="3"/>
      <c r="V445" s="3">
        <v>2279.25</v>
      </c>
      <c r="W445" s="3"/>
      <c r="X445" s="3"/>
      <c r="Y445" s="3">
        <v>13227.458</v>
      </c>
      <c r="Z445" s="3">
        <f>SUM(C445:X445)</f>
        <v>0</v>
      </c>
    </row>
    <row r="446" spans="1:26">
      <c r="A446" s="1" t="s">
        <v>249</v>
      </c>
      <c r="B446" s="2" t="s">
        <v>26</v>
      </c>
      <c r="C446" s="2">
        <v>239709</v>
      </c>
      <c r="D446" s="2">
        <v>37940</v>
      </c>
      <c r="E446" s="2">
        <v>7617</v>
      </c>
      <c r="F446" s="2"/>
      <c r="G446" s="2"/>
      <c r="H446" s="2"/>
      <c r="I446" s="2"/>
      <c r="J446" s="2"/>
      <c r="K446" s="2"/>
      <c r="L446" s="2">
        <v>5984</v>
      </c>
      <c r="M446" s="2">
        <v>50468</v>
      </c>
      <c r="N446" s="2">
        <v>180882</v>
      </c>
      <c r="O446" s="2"/>
      <c r="P446" s="2">
        <v>32</v>
      </c>
      <c r="Q446" s="2">
        <v>845</v>
      </c>
      <c r="R446" s="2">
        <v>10639</v>
      </c>
      <c r="S446" s="2"/>
      <c r="T446" s="2"/>
      <c r="U446" s="2"/>
      <c r="V446" s="2">
        <v>12568</v>
      </c>
      <c r="W446" s="2"/>
      <c r="X446" s="2"/>
      <c r="Y446" s="2">
        <v>10318</v>
      </c>
      <c r="Z446" s="2">
        <f>SUM(C446:X446)</f>
        <v>0</v>
      </c>
    </row>
    <row r="447" spans="1:26">
      <c r="A447" s="1"/>
      <c r="B447" s="3" t="s">
        <v>27</v>
      </c>
      <c r="C447" s="3">
        <v>23901.7603</v>
      </c>
      <c r="D447" s="3">
        <v>6267.186999999999</v>
      </c>
      <c r="E447" s="3">
        <v>3046.8</v>
      </c>
      <c r="F447" s="3"/>
      <c r="G447" s="3"/>
      <c r="H447" s="3"/>
      <c r="I447" s="3"/>
      <c r="J447" s="3"/>
      <c r="K447" s="3"/>
      <c r="L447" s="3">
        <v>1196.8</v>
      </c>
      <c r="M447" s="3">
        <v>7018.280400000001</v>
      </c>
      <c r="N447" s="3">
        <v>12014.0753</v>
      </c>
      <c r="O447" s="3"/>
      <c r="P447" s="3">
        <v>5.12</v>
      </c>
      <c r="Q447" s="3">
        <v>160.55</v>
      </c>
      <c r="R447" s="3">
        <v>2365.804999999999</v>
      </c>
      <c r="S447" s="3"/>
      <c r="T447" s="3"/>
      <c r="U447" s="3"/>
      <c r="V447" s="3">
        <v>2403.24</v>
      </c>
      <c r="W447" s="3"/>
      <c r="X447" s="3"/>
      <c r="Y447" s="3">
        <v>4849.46</v>
      </c>
      <c r="Z447" s="3">
        <f>SUM(C447:X447)</f>
        <v>0</v>
      </c>
    </row>
    <row r="448" spans="1:26">
      <c r="A448" s="1" t="s">
        <v>250</v>
      </c>
      <c r="B448" s="2" t="s">
        <v>26</v>
      </c>
      <c r="C448" s="2">
        <v>181954</v>
      </c>
      <c r="D448" s="2">
        <v>32872</v>
      </c>
      <c r="E448" s="2">
        <v>600</v>
      </c>
      <c r="F448" s="2"/>
      <c r="G448" s="2"/>
      <c r="H448" s="2"/>
      <c r="I448" s="2"/>
      <c r="J448" s="2"/>
      <c r="K448" s="2"/>
      <c r="L448" s="2">
        <v>4729</v>
      </c>
      <c r="M448" s="2">
        <v>60420</v>
      </c>
      <c r="N448" s="2">
        <v>201357</v>
      </c>
      <c r="O448" s="2"/>
      <c r="P448" s="2">
        <v>726</v>
      </c>
      <c r="Q448" s="2">
        <v>842</v>
      </c>
      <c r="R448" s="2">
        <v>10762</v>
      </c>
      <c r="S448" s="2"/>
      <c r="T448" s="2"/>
      <c r="U448" s="2">
        <v>4429</v>
      </c>
      <c r="V448" s="2">
        <v>12112</v>
      </c>
      <c r="W448" s="2"/>
      <c r="X448" s="2"/>
      <c r="Y448" s="2">
        <v>57773</v>
      </c>
      <c r="Z448" s="2">
        <f>SUM(C448:X448)</f>
        <v>0</v>
      </c>
    </row>
    <row r="449" spans="1:26">
      <c r="A449" s="1"/>
      <c r="B449" s="3" t="s">
        <v>27</v>
      </c>
      <c r="C449" s="3">
        <v>17980.70629999998</v>
      </c>
      <c r="D449" s="3">
        <v>5520.955400000001</v>
      </c>
      <c r="E449" s="3">
        <v>240</v>
      </c>
      <c r="F449" s="3"/>
      <c r="G449" s="3"/>
      <c r="H449" s="3"/>
      <c r="I449" s="3"/>
      <c r="J449" s="3"/>
      <c r="K449" s="3"/>
      <c r="L449" s="3">
        <v>945.8000000000001</v>
      </c>
      <c r="M449" s="3">
        <v>8321.252500000002</v>
      </c>
      <c r="N449" s="3">
        <v>16311.22920000001</v>
      </c>
      <c r="O449" s="3"/>
      <c r="P449" s="3">
        <v>250.433</v>
      </c>
      <c r="Q449" s="3">
        <v>159.98</v>
      </c>
      <c r="R449" s="3">
        <v>2179.1474</v>
      </c>
      <c r="S449" s="3"/>
      <c r="T449" s="3"/>
      <c r="U449" s="3">
        <v>509.335</v>
      </c>
      <c r="V449" s="3">
        <v>2291.36</v>
      </c>
      <c r="W449" s="3"/>
      <c r="X449" s="3"/>
      <c r="Y449" s="3">
        <v>10452.21</v>
      </c>
      <c r="Z449" s="3">
        <f>SUM(C449:X449)</f>
        <v>0</v>
      </c>
    </row>
    <row r="450" spans="1:26">
      <c r="A450" s="1" t="s">
        <v>251</v>
      </c>
      <c r="B450" s="2" t="s">
        <v>26</v>
      </c>
      <c r="C450" s="2">
        <v>239105</v>
      </c>
      <c r="D450" s="2">
        <v>14306</v>
      </c>
      <c r="E450" s="2">
        <v>4765</v>
      </c>
      <c r="F450" s="2"/>
      <c r="G450" s="2"/>
      <c r="H450" s="2"/>
      <c r="I450" s="2"/>
      <c r="J450" s="2"/>
      <c r="K450" s="2"/>
      <c r="L450" s="2">
        <v>8490</v>
      </c>
      <c r="M450" s="2">
        <v>60348</v>
      </c>
      <c r="N450" s="2">
        <v>224458</v>
      </c>
      <c r="O450" s="2"/>
      <c r="P450" s="2"/>
      <c r="Q450" s="2">
        <v>1117</v>
      </c>
      <c r="R450" s="2">
        <v>13738</v>
      </c>
      <c r="S450" s="2"/>
      <c r="T450" s="2"/>
      <c r="U450" s="2">
        <v>2921</v>
      </c>
      <c r="V450" s="2">
        <v>10691</v>
      </c>
      <c r="W450" s="2"/>
      <c r="X450" s="2"/>
      <c r="Y450" s="2">
        <v>13171</v>
      </c>
      <c r="Z450" s="2">
        <f>SUM(C450:X450)</f>
        <v>0</v>
      </c>
    </row>
    <row r="451" spans="1:26">
      <c r="A451" s="1"/>
      <c r="B451" s="3" t="s">
        <v>27</v>
      </c>
      <c r="C451" s="3">
        <v>24364.0569</v>
      </c>
      <c r="D451" s="3">
        <v>2892.3141</v>
      </c>
      <c r="E451" s="3">
        <v>1906</v>
      </c>
      <c r="F451" s="3"/>
      <c r="G451" s="3"/>
      <c r="H451" s="3"/>
      <c r="I451" s="3"/>
      <c r="J451" s="3"/>
      <c r="K451" s="3"/>
      <c r="L451" s="3">
        <v>1698</v>
      </c>
      <c r="M451" s="3">
        <v>7760.527800000003</v>
      </c>
      <c r="N451" s="3">
        <v>17205.7686</v>
      </c>
      <c r="O451" s="3"/>
      <c r="P451" s="3"/>
      <c r="Q451" s="3">
        <v>212.23</v>
      </c>
      <c r="R451" s="3">
        <v>2945.8936</v>
      </c>
      <c r="S451" s="3"/>
      <c r="T451" s="3"/>
      <c r="U451" s="3">
        <v>335.915</v>
      </c>
      <c r="V451" s="3">
        <v>2128.87</v>
      </c>
      <c r="W451" s="3"/>
      <c r="X451" s="3"/>
      <c r="Y451" s="3">
        <v>5873.319999999999</v>
      </c>
      <c r="Z451" s="3">
        <f>SUM(C451:X451)</f>
        <v>0</v>
      </c>
    </row>
    <row r="452" spans="1:26">
      <c r="A452" s="1" t="s">
        <v>252</v>
      </c>
      <c r="B452" s="2" t="s">
        <v>26</v>
      </c>
      <c r="C452" s="2">
        <v>315014</v>
      </c>
      <c r="D452" s="2">
        <v>8735</v>
      </c>
      <c r="E452" s="2">
        <v>12359</v>
      </c>
      <c r="F452" s="2"/>
      <c r="G452" s="2"/>
      <c r="H452" s="2"/>
      <c r="I452" s="2"/>
      <c r="J452" s="2"/>
      <c r="K452" s="2"/>
      <c r="L452" s="2">
        <v>6272</v>
      </c>
      <c r="M452" s="2">
        <v>60437</v>
      </c>
      <c r="N452" s="2">
        <v>230975</v>
      </c>
      <c r="O452" s="2"/>
      <c r="P452" s="2">
        <v>2569</v>
      </c>
      <c r="Q452" s="2">
        <v>4546</v>
      </c>
      <c r="R452" s="2">
        <v>10417</v>
      </c>
      <c r="S452" s="2"/>
      <c r="T452" s="2"/>
      <c r="U452" s="2"/>
      <c r="V452" s="2">
        <v>8093</v>
      </c>
      <c r="W452" s="2"/>
      <c r="X452" s="2"/>
      <c r="Y452" s="2">
        <v>3501</v>
      </c>
      <c r="Z452" s="2">
        <f>SUM(C452:X452)</f>
        <v>0</v>
      </c>
    </row>
    <row r="453" spans="1:26">
      <c r="A453" s="1"/>
      <c r="B453" s="3" t="s">
        <v>27</v>
      </c>
      <c r="C453" s="3">
        <v>32347.98600000001</v>
      </c>
      <c r="D453" s="3">
        <v>2377.8996</v>
      </c>
      <c r="E453" s="3">
        <v>4943.599999999999</v>
      </c>
      <c r="F453" s="3"/>
      <c r="G453" s="3"/>
      <c r="H453" s="3"/>
      <c r="I453" s="3"/>
      <c r="J453" s="3"/>
      <c r="K453" s="3"/>
      <c r="L453" s="3">
        <v>1254.4</v>
      </c>
      <c r="M453" s="3">
        <v>8254.285100000003</v>
      </c>
      <c r="N453" s="3">
        <v>15436.5921</v>
      </c>
      <c r="O453" s="3"/>
      <c r="P453" s="3">
        <v>453.475</v>
      </c>
      <c r="Q453" s="3">
        <v>639.25</v>
      </c>
      <c r="R453" s="3">
        <v>2376.3268</v>
      </c>
      <c r="S453" s="3"/>
      <c r="T453" s="3"/>
      <c r="U453" s="3"/>
      <c r="V453" s="3">
        <v>1810.02</v>
      </c>
      <c r="W453" s="3"/>
      <c r="X453" s="3"/>
      <c r="Y453" s="3">
        <v>340.9225</v>
      </c>
      <c r="Z453" s="3">
        <f>SUM(C453:X453)</f>
        <v>0</v>
      </c>
    </row>
    <row r="454" spans="1:26">
      <c r="A454" s="1" t="s">
        <v>253</v>
      </c>
      <c r="B454" s="2" t="s">
        <v>26</v>
      </c>
      <c r="C454" s="2">
        <v>207057</v>
      </c>
      <c r="D454" s="2">
        <v>6299</v>
      </c>
      <c r="E454" s="2">
        <v>9299</v>
      </c>
      <c r="F454" s="2"/>
      <c r="G454" s="2"/>
      <c r="H454" s="2"/>
      <c r="I454" s="2"/>
      <c r="J454" s="2"/>
      <c r="K454" s="2"/>
      <c r="L454" s="2">
        <v>5116</v>
      </c>
      <c r="M454" s="2">
        <v>50528</v>
      </c>
      <c r="N454" s="2">
        <v>203518</v>
      </c>
      <c r="O454" s="2"/>
      <c r="P454" s="2">
        <v>3584</v>
      </c>
      <c r="Q454" s="2"/>
      <c r="R454" s="2">
        <v>3563</v>
      </c>
      <c r="S454" s="2"/>
      <c r="T454" s="2"/>
      <c r="U454" s="2"/>
      <c r="V454" s="2">
        <v>6905</v>
      </c>
      <c r="W454" s="2"/>
      <c r="X454" s="2"/>
      <c r="Y454" s="2">
        <v>567</v>
      </c>
      <c r="Z454" s="2">
        <f>SUM(C454:X454)</f>
        <v>0</v>
      </c>
    </row>
    <row r="455" spans="1:26">
      <c r="A455" s="1"/>
      <c r="B455" s="3" t="s">
        <v>27</v>
      </c>
      <c r="C455" s="3">
        <v>21574.89645000001</v>
      </c>
      <c r="D455" s="3">
        <v>1404.988</v>
      </c>
      <c r="E455" s="3">
        <v>3719.6</v>
      </c>
      <c r="F455" s="3"/>
      <c r="G455" s="3"/>
      <c r="H455" s="3"/>
      <c r="I455" s="3"/>
      <c r="J455" s="3"/>
      <c r="K455" s="3"/>
      <c r="L455" s="3">
        <v>1023.2</v>
      </c>
      <c r="M455" s="3">
        <v>7290.317800000003</v>
      </c>
      <c r="N455" s="3">
        <v>17335.1431</v>
      </c>
      <c r="O455" s="3"/>
      <c r="P455" s="3">
        <v>766.1680000000001</v>
      </c>
      <c r="Q455" s="3"/>
      <c r="R455" s="3">
        <v>827.1906</v>
      </c>
      <c r="S455" s="3"/>
      <c r="T455" s="3"/>
      <c r="U455" s="3"/>
      <c r="V455" s="3">
        <v>1920.04</v>
      </c>
      <c r="W455" s="3"/>
      <c r="X455" s="3"/>
      <c r="Y455" s="3">
        <v>45.36</v>
      </c>
      <c r="Z455" s="3">
        <f>SUM(C455:X455)</f>
        <v>0</v>
      </c>
    </row>
    <row r="456" spans="1:26">
      <c r="A456" s="1" t="s">
        <v>254</v>
      </c>
      <c r="B456" s="2" t="s">
        <v>26</v>
      </c>
      <c r="C456" s="2">
        <v>291863</v>
      </c>
      <c r="D456" s="2">
        <v>14130</v>
      </c>
      <c r="E456" s="2">
        <v>5475</v>
      </c>
      <c r="F456" s="2"/>
      <c r="G456" s="2"/>
      <c r="H456" s="2"/>
      <c r="I456" s="2"/>
      <c r="J456" s="2"/>
      <c r="K456" s="2"/>
      <c r="L456" s="2">
        <v>7154</v>
      </c>
      <c r="M456" s="2">
        <v>30000</v>
      </c>
      <c r="N456" s="2">
        <v>232892</v>
      </c>
      <c r="O456" s="2"/>
      <c r="P456" s="2">
        <v>9138</v>
      </c>
      <c r="Q456" s="2">
        <v>320</v>
      </c>
      <c r="R456" s="2">
        <v>8523</v>
      </c>
      <c r="S456" s="2"/>
      <c r="T456" s="2"/>
      <c r="U456" s="2"/>
      <c r="V456" s="2">
        <v>10256</v>
      </c>
      <c r="W456" s="2"/>
      <c r="X456" s="2"/>
      <c r="Y456" s="2">
        <v>405125</v>
      </c>
      <c r="Z456" s="2">
        <f>SUM(C456:X456)</f>
        <v>0</v>
      </c>
    </row>
    <row r="457" spans="1:26">
      <c r="A457" s="1"/>
      <c r="B457" s="3" t="s">
        <v>27</v>
      </c>
      <c r="C457" s="3">
        <v>30087.59360000002</v>
      </c>
      <c r="D457" s="3">
        <v>3237.2294</v>
      </c>
      <c r="E457" s="3">
        <v>2190</v>
      </c>
      <c r="F457" s="3"/>
      <c r="G457" s="3"/>
      <c r="H457" s="3"/>
      <c r="I457" s="3"/>
      <c r="J457" s="3"/>
      <c r="K457" s="3"/>
      <c r="L457" s="3">
        <v>1430.8</v>
      </c>
      <c r="M457" s="3">
        <v>4334.597</v>
      </c>
      <c r="N457" s="3">
        <v>17814.4096</v>
      </c>
      <c r="O457" s="3"/>
      <c r="P457" s="3">
        <v>1317.045</v>
      </c>
      <c r="Q457" s="3">
        <v>44.8</v>
      </c>
      <c r="R457" s="3">
        <v>2214.112</v>
      </c>
      <c r="S457" s="3"/>
      <c r="T457" s="3"/>
      <c r="U457" s="3"/>
      <c r="V457" s="3">
        <v>2188.535</v>
      </c>
      <c r="W457" s="3"/>
      <c r="X457" s="3"/>
      <c r="Y457" s="3">
        <v>582.375</v>
      </c>
      <c r="Z457" s="3">
        <f>SUM(C457:X457)</f>
        <v>0</v>
      </c>
    </row>
    <row r="458" spans="1:26">
      <c r="A458" s="1" t="s">
        <v>255</v>
      </c>
      <c r="B458" s="2" t="s">
        <v>26</v>
      </c>
      <c r="C458" s="2">
        <v>268571</v>
      </c>
      <c r="D458" s="2">
        <v>22841</v>
      </c>
      <c r="E458" s="2">
        <v>8582</v>
      </c>
      <c r="F458" s="2"/>
      <c r="G458" s="2"/>
      <c r="H458" s="2"/>
      <c r="I458" s="2"/>
      <c r="J458" s="2"/>
      <c r="K458" s="2"/>
      <c r="L458" s="2">
        <v>2811</v>
      </c>
      <c r="M458" s="2">
        <v>26706</v>
      </c>
      <c r="N458" s="2">
        <v>231454</v>
      </c>
      <c r="O458" s="2"/>
      <c r="P458" s="2">
        <v>10889</v>
      </c>
      <c r="Q458" s="2"/>
      <c r="R458" s="2">
        <v>830</v>
      </c>
      <c r="S458" s="2"/>
      <c r="T458" s="2"/>
      <c r="U458" s="2"/>
      <c r="V458" s="2">
        <v>5037</v>
      </c>
      <c r="W458" s="2"/>
      <c r="X458" s="2"/>
      <c r="Y458" s="2">
        <v>27503</v>
      </c>
      <c r="Z458" s="2">
        <f>SUM(C458:X458)</f>
        <v>0</v>
      </c>
    </row>
    <row r="459" spans="1:26">
      <c r="A459" s="1"/>
      <c r="B459" s="3" t="s">
        <v>27</v>
      </c>
      <c r="C459" s="3">
        <v>30470.60245000001</v>
      </c>
      <c r="D459" s="3">
        <v>4485.0443</v>
      </c>
      <c r="E459" s="3">
        <v>3771.655</v>
      </c>
      <c r="F459" s="3"/>
      <c r="G459" s="3"/>
      <c r="H459" s="3"/>
      <c r="I459" s="3"/>
      <c r="J459" s="3"/>
      <c r="K459" s="3"/>
      <c r="L459" s="3">
        <v>562.2</v>
      </c>
      <c r="M459" s="3">
        <v>3764.811800000001</v>
      </c>
      <c r="N459" s="3">
        <v>15294.782</v>
      </c>
      <c r="O459" s="3"/>
      <c r="P459" s="3">
        <v>1611.6</v>
      </c>
      <c r="Q459" s="3"/>
      <c r="R459" s="3">
        <v>215.8000000000001</v>
      </c>
      <c r="S459" s="3"/>
      <c r="T459" s="3"/>
      <c r="U459" s="3"/>
      <c r="V459" s="3">
        <v>1207.025</v>
      </c>
      <c r="W459" s="3"/>
      <c r="X459" s="3"/>
      <c r="Y459" s="3">
        <v>1272.4</v>
      </c>
      <c r="Z459" s="3">
        <f>SUM(C459:X459)</f>
        <v>0</v>
      </c>
    </row>
    <row r="460" spans="1:26">
      <c r="A460" s="1" t="s">
        <v>256</v>
      </c>
      <c r="B460" s="2" t="s">
        <v>26</v>
      </c>
      <c r="C460" s="2">
        <v>251111</v>
      </c>
      <c r="D460" s="2">
        <v>23729</v>
      </c>
      <c r="E460" s="2">
        <v>5556</v>
      </c>
      <c r="F460" s="2"/>
      <c r="G460" s="2"/>
      <c r="H460" s="2"/>
      <c r="I460" s="2"/>
      <c r="J460" s="2"/>
      <c r="K460" s="2"/>
      <c r="L460" s="2">
        <v>6013</v>
      </c>
      <c r="M460" s="2">
        <v>27626</v>
      </c>
      <c r="N460" s="2">
        <v>190044</v>
      </c>
      <c r="O460" s="2"/>
      <c r="P460" s="2">
        <v>1683</v>
      </c>
      <c r="Q460" s="2">
        <v>8274</v>
      </c>
      <c r="R460" s="2">
        <v>3075</v>
      </c>
      <c r="S460" s="2"/>
      <c r="T460" s="2"/>
      <c r="U460" s="2"/>
      <c r="V460" s="2">
        <v>10392</v>
      </c>
      <c r="W460" s="2"/>
      <c r="X460" s="2"/>
      <c r="Y460" s="2">
        <v>13013</v>
      </c>
      <c r="Z460" s="2">
        <f>SUM(C460:X460)</f>
        <v>0</v>
      </c>
    </row>
    <row r="461" spans="1:26">
      <c r="A461" s="1"/>
      <c r="B461" s="3" t="s">
        <v>27</v>
      </c>
      <c r="C461" s="3">
        <v>29112.18410000001</v>
      </c>
      <c r="D461" s="3">
        <v>4539.782499999999</v>
      </c>
      <c r="E461" s="3">
        <v>3181.03405</v>
      </c>
      <c r="F461" s="3"/>
      <c r="G461" s="3"/>
      <c r="H461" s="3"/>
      <c r="I461" s="3"/>
      <c r="J461" s="3"/>
      <c r="K461" s="3"/>
      <c r="L461" s="3">
        <v>1202.6</v>
      </c>
      <c r="M461" s="3">
        <v>3340.1808</v>
      </c>
      <c r="N461" s="3">
        <v>16996.43600000001</v>
      </c>
      <c r="O461" s="3"/>
      <c r="P461" s="3">
        <v>269.28</v>
      </c>
      <c r="Q461" s="3">
        <v>1077.65</v>
      </c>
      <c r="R461" s="3">
        <v>1537.5</v>
      </c>
      <c r="S461" s="3"/>
      <c r="T461" s="3"/>
      <c r="U461" s="3"/>
      <c r="V461" s="3">
        <v>1978.67</v>
      </c>
      <c r="W461" s="3"/>
      <c r="X461" s="3"/>
      <c r="Y461" s="3">
        <v>654.164</v>
      </c>
      <c r="Z461" s="3">
        <f>SUM(C461:X461)</f>
        <v>0</v>
      </c>
    </row>
    <row r="462" spans="1:26">
      <c r="A462" s="1" t="s">
        <v>257</v>
      </c>
      <c r="B462" s="2" t="s">
        <v>26</v>
      </c>
      <c r="C462" s="2">
        <v>235076</v>
      </c>
      <c r="D462" s="2">
        <v>9205</v>
      </c>
      <c r="E462" s="2">
        <v>11341</v>
      </c>
      <c r="F462" s="2"/>
      <c r="G462" s="2"/>
      <c r="H462" s="2"/>
      <c r="I462" s="2"/>
      <c r="J462" s="2"/>
      <c r="K462" s="2"/>
      <c r="L462" s="2">
        <v>2240</v>
      </c>
      <c r="M462" s="2">
        <v>50107</v>
      </c>
      <c r="N462" s="2">
        <v>224928</v>
      </c>
      <c r="O462" s="2"/>
      <c r="P462" s="2">
        <v>115</v>
      </c>
      <c r="Q462" s="2">
        <v>12039</v>
      </c>
      <c r="R462" s="2">
        <v>1162</v>
      </c>
      <c r="S462" s="2"/>
      <c r="T462" s="2"/>
      <c r="U462" s="2"/>
      <c r="V462" s="2">
        <v>6962</v>
      </c>
      <c r="W462" s="2"/>
      <c r="X462" s="2"/>
      <c r="Y462" s="2">
        <v>17339</v>
      </c>
      <c r="Z462" s="2">
        <f>SUM(C462:X462)</f>
        <v>0</v>
      </c>
    </row>
    <row r="463" spans="1:26">
      <c r="A463" s="1"/>
      <c r="B463" s="3" t="s">
        <v>27</v>
      </c>
      <c r="C463" s="3">
        <v>29526.87319999997</v>
      </c>
      <c r="D463" s="3">
        <v>1785.89</v>
      </c>
      <c r="E463" s="3">
        <v>5386.771400000001</v>
      </c>
      <c r="F463" s="3"/>
      <c r="G463" s="3"/>
      <c r="H463" s="3"/>
      <c r="I463" s="3"/>
      <c r="J463" s="3"/>
      <c r="K463" s="3"/>
      <c r="L463" s="3">
        <v>448</v>
      </c>
      <c r="M463" s="3">
        <v>6312.311699999999</v>
      </c>
      <c r="N463" s="3">
        <v>18005.031</v>
      </c>
      <c r="O463" s="3"/>
      <c r="P463" s="3">
        <v>21.7515</v>
      </c>
      <c r="Q463" s="3">
        <v>1565.07</v>
      </c>
      <c r="R463" s="3">
        <v>581</v>
      </c>
      <c r="S463" s="3"/>
      <c r="T463" s="3"/>
      <c r="U463" s="3"/>
      <c r="V463" s="3">
        <v>1403.32</v>
      </c>
      <c r="W463" s="3"/>
      <c r="X463" s="3"/>
      <c r="Y463" s="3">
        <v>798.308</v>
      </c>
      <c r="Z463" s="3">
        <f>SUM(C463:X463)</f>
        <v>0</v>
      </c>
    </row>
    <row r="464" spans="1:26">
      <c r="A464" s="1" t="s">
        <v>258</v>
      </c>
      <c r="B464" s="2" t="s">
        <v>26</v>
      </c>
      <c r="C464" s="2">
        <v>197675</v>
      </c>
      <c r="D464" s="2">
        <v>30734</v>
      </c>
      <c r="E464" s="2">
        <v>12523</v>
      </c>
      <c r="F464" s="2">
        <v>2222</v>
      </c>
      <c r="G464" s="2"/>
      <c r="H464" s="2"/>
      <c r="I464" s="2"/>
      <c r="J464" s="2"/>
      <c r="K464" s="2"/>
      <c r="L464" s="2">
        <v>3684</v>
      </c>
      <c r="M464" s="2">
        <v>60321</v>
      </c>
      <c r="N464" s="2">
        <v>221400</v>
      </c>
      <c r="O464" s="2"/>
      <c r="P464" s="2"/>
      <c r="Q464" s="2">
        <v>1620</v>
      </c>
      <c r="R464" s="2">
        <v>1732</v>
      </c>
      <c r="S464" s="2"/>
      <c r="T464" s="2"/>
      <c r="U464" s="2"/>
      <c r="V464" s="2">
        <v>14400</v>
      </c>
      <c r="W464" s="2"/>
      <c r="X464" s="2"/>
      <c r="Y464" s="2">
        <v>11999</v>
      </c>
      <c r="Z464" s="2">
        <f>SUM(C464:X464)</f>
        <v>0</v>
      </c>
    </row>
    <row r="465" spans="1:26">
      <c r="A465" s="1"/>
      <c r="B465" s="3" t="s">
        <v>27</v>
      </c>
      <c r="C465" s="3">
        <v>22807.91369999999</v>
      </c>
      <c r="D465" s="3">
        <v>5073.439999999999</v>
      </c>
      <c r="E465" s="3">
        <v>5775.4164</v>
      </c>
      <c r="F465" s="3">
        <v>1333.2</v>
      </c>
      <c r="G465" s="3"/>
      <c r="H465" s="3"/>
      <c r="I465" s="3"/>
      <c r="J465" s="3"/>
      <c r="K465" s="3"/>
      <c r="L465" s="3">
        <v>736.8000000000001</v>
      </c>
      <c r="M465" s="3">
        <v>8397.461800000001</v>
      </c>
      <c r="N465" s="3">
        <v>17232.7129</v>
      </c>
      <c r="O465" s="3"/>
      <c r="P465" s="3"/>
      <c r="Q465" s="3">
        <v>210.6</v>
      </c>
      <c r="R465" s="3">
        <v>478.88</v>
      </c>
      <c r="S465" s="3"/>
      <c r="T465" s="3"/>
      <c r="U465" s="3"/>
      <c r="V465" s="3">
        <v>2860.17</v>
      </c>
      <c r="W465" s="3"/>
      <c r="X465" s="3"/>
      <c r="Y465" s="3">
        <v>331.67</v>
      </c>
      <c r="Z465" s="3">
        <f>SUM(C465:X465)</f>
        <v>0</v>
      </c>
    </row>
    <row r="466" spans="1:26">
      <c r="A466" s="1" t="s">
        <v>259</v>
      </c>
      <c r="B466" s="2" t="s">
        <v>26</v>
      </c>
      <c r="C466" s="2">
        <v>210524</v>
      </c>
      <c r="D466" s="2">
        <v>1963</v>
      </c>
      <c r="E466" s="2">
        <v>8022</v>
      </c>
      <c r="F466" s="2">
        <v>2885</v>
      </c>
      <c r="G466" s="2"/>
      <c r="H466" s="2"/>
      <c r="I466" s="2"/>
      <c r="J466" s="2"/>
      <c r="K466" s="2"/>
      <c r="L466" s="2">
        <v>3111</v>
      </c>
      <c r="M466" s="2">
        <v>60976</v>
      </c>
      <c r="N466" s="2">
        <v>181081</v>
      </c>
      <c r="O466" s="2"/>
      <c r="P466" s="2">
        <v>623</v>
      </c>
      <c r="Q466" s="2">
        <v>5193</v>
      </c>
      <c r="R466" s="2">
        <v>4110</v>
      </c>
      <c r="S466" s="2"/>
      <c r="T466" s="2"/>
      <c r="U466" s="2"/>
      <c r="V466" s="2">
        <v>8225</v>
      </c>
      <c r="W466" s="2"/>
      <c r="X466" s="2"/>
      <c r="Y466" s="2">
        <v>19445</v>
      </c>
      <c r="Z466" s="2">
        <f>SUM(C466:X466)</f>
        <v>0</v>
      </c>
    </row>
    <row r="467" spans="1:26">
      <c r="A467" s="1"/>
      <c r="B467" s="3" t="s">
        <v>27</v>
      </c>
      <c r="C467" s="3">
        <v>26839.57395000001</v>
      </c>
      <c r="D467" s="3">
        <v>338.4424</v>
      </c>
      <c r="E467" s="3">
        <v>3678.0606</v>
      </c>
      <c r="F467" s="3">
        <v>1731</v>
      </c>
      <c r="G467" s="3"/>
      <c r="H467" s="3"/>
      <c r="I467" s="3"/>
      <c r="J467" s="3"/>
      <c r="K467" s="3"/>
      <c r="L467" s="3">
        <v>622.2</v>
      </c>
      <c r="M467" s="3">
        <v>8534.4385</v>
      </c>
      <c r="N467" s="3">
        <v>13988.38340000001</v>
      </c>
      <c r="O467" s="3"/>
      <c r="P467" s="3">
        <v>74.75999999999999</v>
      </c>
      <c r="Q467" s="3">
        <v>675.09</v>
      </c>
      <c r="R467" s="3">
        <v>1251.96</v>
      </c>
      <c r="S467" s="3"/>
      <c r="T467" s="3"/>
      <c r="U467" s="3"/>
      <c r="V467" s="3">
        <v>1705.09</v>
      </c>
      <c r="W467" s="3"/>
      <c r="X467" s="3"/>
      <c r="Y467" s="3">
        <v>1052.7</v>
      </c>
      <c r="Z467" s="3">
        <f>SUM(C467:X467)</f>
        <v>0</v>
      </c>
    </row>
    <row r="468" spans="1:26">
      <c r="A468" s="1" t="s">
        <v>260</v>
      </c>
      <c r="B468" s="2" t="s">
        <v>26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>
        <f>SUM(C468:X468)</f>
        <v>0</v>
      </c>
    </row>
    <row r="469" spans="1:26">
      <c r="A469" s="1"/>
      <c r="B469" s="3" t="s">
        <v>27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f>SUM(C469:X469)</f>
        <v>0</v>
      </c>
    </row>
    <row r="470" spans="1:26">
      <c r="A470" s="1" t="s">
        <v>261</v>
      </c>
      <c r="B470" s="2" t="s">
        <v>26</v>
      </c>
      <c r="C470" s="2">
        <v>238497</v>
      </c>
      <c r="D470" s="2">
        <v>18441</v>
      </c>
      <c r="E470" s="2">
        <v>2999</v>
      </c>
      <c r="F470" s="2">
        <v>2965</v>
      </c>
      <c r="G470" s="2"/>
      <c r="H470" s="2"/>
      <c r="I470" s="2"/>
      <c r="J470" s="2"/>
      <c r="K470" s="2"/>
      <c r="L470" s="2">
        <v>5291</v>
      </c>
      <c r="M470" s="2">
        <v>70128</v>
      </c>
      <c r="N470" s="2">
        <v>200137</v>
      </c>
      <c r="O470" s="2"/>
      <c r="P470" s="2"/>
      <c r="Q470" s="2">
        <v>14447</v>
      </c>
      <c r="R470" s="2">
        <v>3483</v>
      </c>
      <c r="S470" s="2"/>
      <c r="T470" s="2"/>
      <c r="U470" s="2">
        <v>2400</v>
      </c>
      <c r="V470" s="2">
        <v>10040</v>
      </c>
      <c r="W470" s="2"/>
      <c r="X470" s="2"/>
      <c r="Y470" s="2"/>
      <c r="Z470" s="2">
        <f>SUM(C470:X470)</f>
        <v>0</v>
      </c>
    </row>
    <row r="471" spans="1:26">
      <c r="A471" s="1"/>
      <c r="B471" s="3" t="s">
        <v>27</v>
      </c>
      <c r="C471" s="3">
        <v>25994.13750000002</v>
      </c>
      <c r="D471" s="3">
        <v>3965.5426</v>
      </c>
      <c r="E471" s="3">
        <v>1386.2394</v>
      </c>
      <c r="F471" s="3">
        <v>1779</v>
      </c>
      <c r="G471" s="3"/>
      <c r="H471" s="3"/>
      <c r="I471" s="3"/>
      <c r="J471" s="3"/>
      <c r="K471" s="3"/>
      <c r="L471" s="3">
        <v>1058.2</v>
      </c>
      <c r="M471" s="3">
        <v>9817.113599999999</v>
      </c>
      <c r="N471" s="3">
        <v>16447.80800000001</v>
      </c>
      <c r="O471" s="3"/>
      <c r="P471" s="3"/>
      <c r="Q471" s="3">
        <v>1746.47</v>
      </c>
      <c r="R471" s="3">
        <v>918.3200000000001</v>
      </c>
      <c r="S471" s="3"/>
      <c r="T471" s="3"/>
      <c r="U471" s="3">
        <v>282.33</v>
      </c>
      <c r="V471" s="3">
        <v>2048.88</v>
      </c>
      <c r="W471" s="3"/>
      <c r="X471" s="3"/>
      <c r="Y471" s="3"/>
      <c r="Z471" s="3">
        <f>SUM(C471:X471)</f>
        <v>0</v>
      </c>
    </row>
    <row r="472" spans="1:26">
      <c r="A472" s="1" t="s">
        <v>262</v>
      </c>
      <c r="B472" s="2" t="s">
        <v>26</v>
      </c>
      <c r="C472" s="2">
        <v>271340</v>
      </c>
      <c r="D472" s="2">
        <v>30505</v>
      </c>
      <c r="E472" s="2">
        <v>376</v>
      </c>
      <c r="F472" s="2">
        <v>3325</v>
      </c>
      <c r="G472" s="2"/>
      <c r="H472" s="2"/>
      <c r="I472" s="2"/>
      <c r="J472" s="2"/>
      <c r="K472" s="2"/>
      <c r="L472" s="2">
        <v>3465</v>
      </c>
      <c r="M472" s="2">
        <v>50024</v>
      </c>
      <c r="N472" s="2">
        <v>241459</v>
      </c>
      <c r="O472" s="2"/>
      <c r="P472" s="2"/>
      <c r="Q472" s="2">
        <v>11081</v>
      </c>
      <c r="R472" s="2">
        <v>210</v>
      </c>
      <c r="S472" s="2"/>
      <c r="T472" s="2"/>
      <c r="U472" s="2">
        <v>300</v>
      </c>
      <c r="V472" s="2">
        <v>2170</v>
      </c>
      <c r="W472" s="2"/>
      <c r="X472" s="2"/>
      <c r="Y472" s="2">
        <v>4167</v>
      </c>
      <c r="Z472" s="2">
        <f>SUM(C472:X472)</f>
        <v>0</v>
      </c>
    </row>
    <row r="473" spans="1:26">
      <c r="A473" s="1"/>
      <c r="B473" s="3" t="s">
        <v>27</v>
      </c>
      <c r="C473" s="3">
        <v>27167.45639999999</v>
      </c>
      <c r="D473" s="3">
        <v>5323.242</v>
      </c>
      <c r="E473" s="3">
        <v>171.4902</v>
      </c>
      <c r="F473" s="3">
        <v>1995</v>
      </c>
      <c r="G473" s="3"/>
      <c r="H473" s="3"/>
      <c r="I473" s="3"/>
      <c r="J473" s="3"/>
      <c r="K473" s="3"/>
      <c r="L473" s="3">
        <v>693</v>
      </c>
      <c r="M473" s="3">
        <v>6880.436900000001</v>
      </c>
      <c r="N473" s="3">
        <v>20411.2273</v>
      </c>
      <c r="O473" s="3"/>
      <c r="P473" s="3"/>
      <c r="Q473" s="3">
        <v>1033.7355</v>
      </c>
      <c r="R473" s="3">
        <v>54.90000000000001</v>
      </c>
      <c r="S473" s="3"/>
      <c r="T473" s="3"/>
      <c r="U473" s="3">
        <v>39.27</v>
      </c>
      <c r="V473" s="3">
        <v>441.37</v>
      </c>
      <c r="W473" s="3"/>
      <c r="X473" s="3"/>
      <c r="Y473" s="3">
        <v>1408.902</v>
      </c>
      <c r="Z473" s="3">
        <f>SUM(C473:X473)</f>
        <v>0</v>
      </c>
    </row>
    <row r="474" spans="1:26">
      <c r="A474" s="1" t="s">
        <v>263</v>
      </c>
      <c r="B474" s="2" t="s">
        <v>26</v>
      </c>
      <c r="C474" s="2">
        <v>296292</v>
      </c>
      <c r="D474" s="2">
        <v>32033</v>
      </c>
      <c r="E474" s="2">
        <v>2000</v>
      </c>
      <c r="F474" s="2">
        <v>1989</v>
      </c>
      <c r="G474" s="2"/>
      <c r="H474" s="2"/>
      <c r="I474" s="2"/>
      <c r="J474" s="2"/>
      <c r="K474" s="2"/>
      <c r="L474" s="2">
        <v>2152</v>
      </c>
      <c r="M474" s="2">
        <v>50733</v>
      </c>
      <c r="N474" s="2">
        <v>241339</v>
      </c>
      <c r="O474" s="2"/>
      <c r="P474" s="2">
        <v>130</v>
      </c>
      <c r="Q474" s="2">
        <v>11898</v>
      </c>
      <c r="R474" s="2"/>
      <c r="S474" s="2"/>
      <c r="T474" s="2"/>
      <c r="U474" s="2"/>
      <c r="V474" s="2">
        <v>381</v>
      </c>
      <c r="W474" s="2"/>
      <c r="X474" s="2"/>
      <c r="Y474" s="2">
        <v>10281</v>
      </c>
      <c r="Z474" s="2">
        <f>SUM(C474:X474)</f>
        <v>0</v>
      </c>
    </row>
    <row r="475" spans="1:26">
      <c r="A475" s="1"/>
      <c r="B475" s="3" t="s">
        <v>27</v>
      </c>
      <c r="C475" s="3">
        <v>28972.59629999999</v>
      </c>
      <c r="D475" s="3">
        <v>5764.4075</v>
      </c>
      <c r="E475" s="3">
        <v>913.2</v>
      </c>
      <c r="F475" s="3">
        <v>1193.4</v>
      </c>
      <c r="G475" s="3"/>
      <c r="H475" s="3"/>
      <c r="I475" s="3"/>
      <c r="J475" s="3"/>
      <c r="K475" s="3"/>
      <c r="L475" s="3">
        <v>430.4</v>
      </c>
      <c r="M475" s="3">
        <v>7140.376099999999</v>
      </c>
      <c r="N475" s="3">
        <v>18049.7326</v>
      </c>
      <c r="O475" s="3"/>
      <c r="P475" s="3">
        <v>42.25</v>
      </c>
      <c r="Q475" s="3">
        <v>1488.35</v>
      </c>
      <c r="R475" s="3"/>
      <c r="S475" s="3"/>
      <c r="T475" s="3"/>
      <c r="U475" s="3"/>
      <c r="V475" s="3">
        <v>76.2</v>
      </c>
      <c r="W475" s="3"/>
      <c r="X475" s="3"/>
      <c r="Y475" s="3">
        <v>1618.805</v>
      </c>
      <c r="Z475" s="3">
        <f>SUM(C475:X475)</f>
        <v>0</v>
      </c>
    </row>
    <row r="476" spans="1:26">
      <c r="A476" s="1" t="s">
        <v>264</v>
      </c>
      <c r="B476" s="2" t="s">
        <v>26</v>
      </c>
      <c r="C476" s="2">
        <v>212224</v>
      </c>
      <c r="D476" s="2">
        <v>20657</v>
      </c>
      <c r="E476" s="2">
        <v>10418</v>
      </c>
      <c r="F476" s="2"/>
      <c r="G476" s="2"/>
      <c r="H476" s="2"/>
      <c r="I476" s="2"/>
      <c r="J476" s="2"/>
      <c r="K476" s="2"/>
      <c r="L476" s="2">
        <v>3705</v>
      </c>
      <c r="M476" s="2">
        <v>50132</v>
      </c>
      <c r="N476" s="2">
        <v>251417</v>
      </c>
      <c r="O476" s="2"/>
      <c r="P476" s="2">
        <v>1885</v>
      </c>
      <c r="Q476" s="2">
        <v>22808</v>
      </c>
      <c r="R476" s="2">
        <v>20</v>
      </c>
      <c r="S476" s="2"/>
      <c r="T476" s="2"/>
      <c r="U476" s="2"/>
      <c r="V476" s="2">
        <v>4545</v>
      </c>
      <c r="W476" s="2"/>
      <c r="X476" s="2"/>
      <c r="Y476" s="2">
        <v>140</v>
      </c>
      <c r="Z476" s="2">
        <f>SUM(C476:X476)</f>
        <v>0</v>
      </c>
    </row>
    <row r="477" spans="1:26">
      <c r="A477" s="1"/>
      <c r="B477" s="3" t="s">
        <v>27</v>
      </c>
      <c r="C477" s="3">
        <v>22989.8292</v>
      </c>
      <c r="D477" s="3">
        <v>5183.9474</v>
      </c>
      <c r="E477" s="3">
        <v>4153.7944</v>
      </c>
      <c r="F477" s="3"/>
      <c r="G477" s="3"/>
      <c r="H477" s="3"/>
      <c r="I477" s="3"/>
      <c r="J477" s="3"/>
      <c r="K477" s="3"/>
      <c r="L477" s="3">
        <v>741</v>
      </c>
      <c r="M477" s="3">
        <v>6861.3001</v>
      </c>
      <c r="N477" s="3">
        <v>16166.1568</v>
      </c>
      <c r="O477" s="3"/>
      <c r="P477" s="3">
        <v>378.528</v>
      </c>
      <c r="Q477" s="3">
        <v>2691.0295</v>
      </c>
      <c r="R477" s="3">
        <v>4.859999999999999</v>
      </c>
      <c r="S477" s="3"/>
      <c r="T477" s="3"/>
      <c r="U477" s="3"/>
      <c r="V477" s="3">
        <v>1085.92</v>
      </c>
      <c r="W477" s="3"/>
      <c r="X477" s="3"/>
      <c r="Y477" s="3">
        <v>5.600000000000001</v>
      </c>
      <c r="Z477" s="3">
        <f>SUM(C477:X477)</f>
        <v>0</v>
      </c>
    </row>
    <row r="478" spans="1:26">
      <c r="A478" s="1" t="s">
        <v>265</v>
      </c>
      <c r="B478" s="2" t="s">
        <v>26</v>
      </c>
      <c r="C478" s="2">
        <v>151114</v>
      </c>
      <c r="D478" s="2">
        <v>30361</v>
      </c>
      <c r="E478" s="2">
        <v>5854</v>
      </c>
      <c r="F478" s="2">
        <v>341</v>
      </c>
      <c r="G478" s="2"/>
      <c r="H478" s="2"/>
      <c r="I478" s="2"/>
      <c r="J478" s="2"/>
      <c r="K478" s="2"/>
      <c r="L478" s="2">
        <v>4357</v>
      </c>
      <c r="M478" s="2">
        <v>60495</v>
      </c>
      <c r="N478" s="2">
        <v>262133</v>
      </c>
      <c r="O478" s="2"/>
      <c r="P478" s="2"/>
      <c r="Q478" s="2">
        <v>26103</v>
      </c>
      <c r="R478" s="2">
        <v>4109</v>
      </c>
      <c r="S478" s="2"/>
      <c r="T478" s="2"/>
      <c r="U478" s="2"/>
      <c r="V478" s="2">
        <v>539</v>
      </c>
      <c r="W478" s="2"/>
      <c r="X478" s="2"/>
      <c r="Y478" s="2">
        <v>6893</v>
      </c>
      <c r="Z478" s="2">
        <f>SUM(C478:X478)</f>
        <v>0</v>
      </c>
    </row>
    <row r="479" spans="1:26">
      <c r="A479" s="1"/>
      <c r="B479" s="3" t="s">
        <v>27</v>
      </c>
      <c r="C479" s="3">
        <v>16803.6175</v>
      </c>
      <c r="D479" s="3">
        <v>7164.1661</v>
      </c>
      <c r="E479" s="3">
        <v>2542.1642</v>
      </c>
      <c r="F479" s="3">
        <v>204.6</v>
      </c>
      <c r="G479" s="3"/>
      <c r="H479" s="3"/>
      <c r="I479" s="3"/>
      <c r="J479" s="3"/>
      <c r="K479" s="3"/>
      <c r="L479" s="3">
        <v>871.4000000000001</v>
      </c>
      <c r="M479" s="3">
        <v>8275.0707</v>
      </c>
      <c r="N479" s="3">
        <v>18117.4817</v>
      </c>
      <c r="O479" s="3"/>
      <c r="P479" s="3"/>
      <c r="Q479" s="3">
        <v>2935.114166670864</v>
      </c>
      <c r="R479" s="3">
        <v>684.5594</v>
      </c>
      <c r="S479" s="3"/>
      <c r="T479" s="3"/>
      <c r="U479" s="3"/>
      <c r="V479" s="3">
        <v>98.83999999999999</v>
      </c>
      <c r="W479" s="3"/>
      <c r="X479" s="3"/>
      <c r="Y479" s="3">
        <v>2708.106</v>
      </c>
      <c r="Z479" s="3">
        <f>SUM(C479:X479)</f>
        <v>0</v>
      </c>
    </row>
    <row r="480" spans="1:26">
      <c r="A480" s="1" t="s">
        <v>266</v>
      </c>
      <c r="B480" s="2" t="s">
        <v>26</v>
      </c>
      <c r="C480" s="2">
        <v>251906</v>
      </c>
      <c r="D480" s="2">
        <v>17590</v>
      </c>
      <c r="E480" s="2">
        <v>5100</v>
      </c>
      <c r="F480" s="2">
        <v>3337</v>
      </c>
      <c r="G480" s="2"/>
      <c r="H480" s="2"/>
      <c r="I480" s="2"/>
      <c r="J480" s="2"/>
      <c r="K480" s="2"/>
      <c r="L480" s="2">
        <v>3316</v>
      </c>
      <c r="M480" s="2">
        <v>60887</v>
      </c>
      <c r="N480" s="2">
        <v>262126</v>
      </c>
      <c r="O480" s="2"/>
      <c r="P480" s="2">
        <v>180</v>
      </c>
      <c r="Q480" s="2">
        <v>5251</v>
      </c>
      <c r="R480" s="2">
        <v>4022</v>
      </c>
      <c r="S480" s="2"/>
      <c r="T480" s="2"/>
      <c r="U480" s="2"/>
      <c r="V480" s="2">
        <v>6179</v>
      </c>
      <c r="W480" s="2"/>
      <c r="X480" s="2"/>
      <c r="Y480" s="2">
        <v>23871</v>
      </c>
      <c r="Z480" s="2">
        <f>SUM(C480:X480)</f>
        <v>0</v>
      </c>
    </row>
    <row r="481" spans="1:26">
      <c r="A481" s="1"/>
      <c r="B481" s="3" t="s">
        <v>27</v>
      </c>
      <c r="C481" s="3">
        <v>26986.06865</v>
      </c>
      <c r="D481" s="3">
        <v>3523.5245</v>
      </c>
      <c r="E481" s="3">
        <v>2065.5</v>
      </c>
      <c r="F481" s="3">
        <v>2640.4</v>
      </c>
      <c r="G481" s="3"/>
      <c r="H481" s="3"/>
      <c r="I481" s="3"/>
      <c r="J481" s="3"/>
      <c r="K481" s="3"/>
      <c r="L481" s="3">
        <v>663.2</v>
      </c>
      <c r="M481" s="3">
        <v>8535.933300000002</v>
      </c>
      <c r="N481" s="3">
        <v>17194.0358</v>
      </c>
      <c r="O481" s="3"/>
      <c r="P481" s="3">
        <v>36</v>
      </c>
      <c r="Q481" s="3">
        <v>669.4778333350059</v>
      </c>
      <c r="R481" s="3">
        <v>670.0652</v>
      </c>
      <c r="S481" s="3"/>
      <c r="T481" s="3"/>
      <c r="U481" s="3"/>
      <c r="V481" s="3">
        <v>1112.22</v>
      </c>
      <c r="W481" s="3"/>
      <c r="X481" s="3"/>
      <c r="Y481" s="3">
        <v>1009.7685</v>
      </c>
      <c r="Z481" s="3">
        <f>SUM(C481:X481)</f>
        <v>0</v>
      </c>
    </row>
    <row r="482" spans="1:26">
      <c r="A482" s="1" t="s">
        <v>267</v>
      </c>
      <c r="B482" s="2" t="s">
        <v>26</v>
      </c>
      <c r="C482" s="2">
        <v>213780</v>
      </c>
      <c r="D482" s="2">
        <v>9007</v>
      </c>
      <c r="E482" s="2">
        <v>8184</v>
      </c>
      <c r="F482" s="2">
        <v>2054</v>
      </c>
      <c r="G482" s="2"/>
      <c r="H482" s="2"/>
      <c r="I482" s="2"/>
      <c r="J482" s="2"/>
      <c r="K482" s="2"/>
      <c r="L482" s="2">
        <v>6009</v>
      </c>
      <c r="M482" s="2">
        <v>60720</v>
      </c>
      <c r="N482" s="2">
        <v>235686</v>
      </c>
      <c r="O482" s="2"/>
      <c r="P482" s="2">
        <v>11330</v>
      </c>
      <c r="Q482" s="2">
        <v>9652</v>
      </c>
      <c r="R482" s="2">
        <v>3586</v>
      </c>
      <c r="S482" s="2"/>
      <c r="T482" s="2"/>
      <c r="U482" s="2"/>
      <c r="V482" s="2">
        <v>4860</v>
      </c>
      <c r="W482" s="2"/>
      <c r="X482" s="2"/>
      <c r="Y482" s="2">
        <v>871</v>
      </c>
      <c r="Z482" s="2">
        <f>SUM(C482:X482)</f>
        <v>0</v>
      </c>
    </row>
    <row r="483" spans="1:26">
      <c r="A483" s="1"/>
      <c r="B483" s="3" t="s">
        <v>27</v>
      </c>
      <c r="C483" s="3">
        <v>21748.84585000002</v>
      </c>
      <c r="D483" s="3">
        <v>2149.667</v>
      </c>
      <c r="E483" s="3">
        <v>3935.04</v>
      </c>
      <c r="F483" s="3">
        <v>1373.4</v>
      </c>
      <c r="G483" s="3"/>
      <c r="H483" s="3"/>
      <c r="I483" s="3"/>
      <c r="J483" s="3"/>
      <c r="K483" s="3"/>
      <c r="L483" s="3">
        <v>1201.8</v>
      </c>
      <c r="M483" s="3">
        <v>8480.520000000002</v>
      </c>
      <c r="N483" s="3">
        <v>16621.0118</v>
      </c>
      <c r="O483" s="3"/>
      <c r="P483" s="3">
        <v>1322.785</v>
      </c>
      <c r="Q483" s="3">
        <v>1247.030000003092</v>
      </c>
      <c r="R483" s="3">
        <v>597.4276</v>
      </c>
      <c r="S483" s="3"/>
      <c r="T483" s="3"/>
      <c r="U483" s="3"/>
      <c r="V483" s="3">
        <v>907</v>
      </c>
      <c r="W483" s="3"/>
      <c r="X483" s="3"/>
      <c r="Y483" s="3">
        <v>342.514</v>
      </c>
      <c r="Z483" s="3">
        <f>SUM(C483:X483)</f>
        <v>0</v>
      </c>
    </row>
    <row r="484" spans="1:26">
      <c r="A484" s="1" t="s">
        <v>268</v>
      </c>
      <c r="B484" s="2" t="s">
        <v>26</v>
      </c>
      <c r="C484" s="2">
        <v>113685</v>
      </c>
      <c r="D484" s="2">
        <v>3239</v>
      </c>
      <c r="E484" s="2">
        <v>900</v>
      </c>
      <c r="F484" s="2">
        <v>1248</v>
      </c>
      <c r="G484" s="2"/>
      <c r="H484" s="2"/>
      <c r="I484" s="2"/>
      <c r="J484" s="2"/>
      <c r="K484" s="2"/>
      <c r="L484" s="2">
        <v>46</v>
      </c>
      <c r="M484" s="2">
        <v>4910</v>
      </c>
      <c r="N484" s="2">
        <v>49806</v>
      </c>
      <c r="O484" s="2"/>
      <c r="P484" s="2"/>
      <c r="Q484" s="2"/>
      <c r="R484" s="2"/>
      <c r="S484" s="2"/>
      <c r="T484" s="2"/>
      <c r="U484" s="2"/>
      <c r="V484" s="2">
        <v>174</v>
      </c>
      <c r="W484" s="2"/>
      <c r="X484" s="2"/>
      <c r="Y484" s="2"/>
      <c r="Z484" s="2">
        <f>SUM(C484:X484)</f>
        <v>0</v>
      </c>
    </row>
    <row r="485" spans="1:26">
      <c r="A485" s="1"/>
      <c r="B485" s="3" t="s">
        <v>27</v>
      </c>
      <c r="C485" s="3">
        <v>11378.90295</v>
      </c>
      <c r="D485" s="3">
        <v>692.3165</v>
      </c>
      <c r="E485" s="3">
        <v>379.7500000000001</v>
      </c>
      <c r="F485" s="3">
        <v>785.3000000000001</v>
      </c>
      <c r="G485" s="3"/>
      <c r="H485" s="3"/>
      <c r="I485" s="3"/>
      <c r="J485" s="3"/>
      <c r="K485" s="3"/>
      <c r="L485" s="3">
        <v>9.200000000000001</v>
      </c>
      <c r="M485" s="3">
        <v>671.45</v>
      </c>
      <c r="N485" s="3">
        <v>4156.497399999999</v>
      </c>
      <c r="O485" s="3"/>
      <c r="P485" s="3"/>
      <c r="Q485" s="3"/>
      <c r="R485" s="3"/>
      <c r="S485" s="3"/>
      <c r="T485" s="3"/>
      <c r="U485" s="3"/>
      <c r="V485" s="3">
        <v>31.32</v>
      </c>
      <c r="W485" s="3"/>
      <c r="X485" s="3"/>
      <c r="Y485" s="3"/>
      <c r="Z485" s="3">
        <f>SUM(C485:X485)</f>
        <v>0</v>
      </c>
    </row>
  </sheetData>
  <mergeCells count="24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2025-08-30T07:01:21Z</dcterms:created>
  <dcterms:modified xsi:type="dcterms:W3CDTF">2025-08-30T07:01:21Z</dcterms:modified>
</cp:coreProperties>
</file>