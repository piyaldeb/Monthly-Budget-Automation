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<sst xmlns="http://schemas.openxmlformats.org/spreadsheetml/2006/main" count="148" uniqueCount="44">
  <si>
    <t>DATE</t>
  </si>
  <si>
    <t>M#4 CE</t>
  </si>
  <si>
    <t>M#5 CE</t>
  </si>
  <si>
    <t>M#5 OE</t>
  </si>
  <si>
    <t>M#8 CE</t>
  </si>
  <si>
    <t>M#8 OE</t>
  </si>
  <si>
    <t>M#10 OE</t>
  </si>
  <si>
    <t>AL#4 CE</t>
  </si>
  <si>
    <t>AL#5 CE</t>
  </si>
  <si>
    <t>AL#5 OE</t>
  </si>
  <si>
    <t>C#3 CE 2 WAY</t>
  </si>
  <si>
    <t>C#3 CE</t>
  </si>
  <si>
    <t>INV#3 CE</t>
  </si>
  <si>
    <t>C#3 OE</t>
  </si>
  <si>
    <t>C#3 Inv OE</t>
  </si>
  <si>
    <t>C#5 CE</t>
  </si>
  <si>
    <t>C#5 OE</t>
  </si>
  <si>
    <t>P#3 CE</t>
  </si>
  <si>
    <t>P#3 OE</t>
  </si>
  <si>
    <t>P#5 CE</t>
  </si>
  <si>
    <t>P#5 OE</t>
  </si>
  <si>
    <t>P#8 CE</t>
  </si>
  <si>
    <t>P#8 OE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</si>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</sst>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  <numFmt numFmtId="164" formatCode="_(&quot;$&quot;* #,##0_);_(&quot;$&quot;* &quot;-&quot;_);_(@_)"/>
    <numFmt numFmtId="164" formatCode="_(&quot;$&quot;* #,##0_);_(&quot;$&quot;* &quot;-&quot;_);_(@_)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  <xf numFmtId="0" fontId="3" fillId="4" borderId="1" xfId="0" applyFont="1" applyFill="1" applyBorder="1"/>
    <xf numFmtId="164" fontId="2" fillId="0" borderId="1" xfId="0" applyNumberFormat="1" applyFont="1" applyBorder="1" applyAlignment="1">
      <alignment vertical="center" wrapText="1"/>
    </xf>
    <xf numFmtId="16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37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2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f>SUM(C2:X2)</f>
        <v>0</v>
      </c>
    </row>
    <row r="3" spans="1:26">
      <c r="A3" s="1"/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f>SUM(C3:X3)</f>
        <v>0</v>
      </c>
    </row>
    <row r="4" spans="1:26">
      <c r="A4" s="1" t="s">
        <v>28</v>
      </c>
      <c r="B4" s="2" t="s">
        <v>26</v>
      </c>
      <c r="C4" s="2">
        <v>237132</v>
      </c>
      <c r="D4" s="2">
        <v>3165</v>
      </c>
      <c r="E4" s="2">
        <v>15096</v>
      </c>
      <c r="F4" s="2"/>
      <c r="G4" s="2"/>
      <c r="H4" s="2"/>
      <c r="I4" s="2"/>
      <c r="J4" s="2"/>
      <c r="K4" s="2"/>
      <c r="L4" s="2">
        <v>50370</v>
      </c>
      <c r="M4" s="2">
        <v>152727</v>
      </c>
      <c r="N4" s="2">
        <v>12065</v>
      </c>
      <c r="O4" s="2">
        <v>3000</v>
      </c>
      <c r="P4" s="2"/>
      <c r="Q4" s="2">
        <v>103</v>
      </c>
      <c r="R4" s="2">
        <v>10321</v>
      </c>
      <c r="S4" s="2"/>
      <c r="T4" s="2"/>
      <c r="U4" s="2"/>
      <c r="V4" s="2"/>
      <c r="W4" s="2"/>
      <c r="X4" s="2"/>
      <c r="Y4" s="2">
        <v>80</v>
      </c>
      <c r="Z4" s="2">
        <f>SUM(C4:X4)</f>
        <v>0</v>
      </c>
    </row>
    <row r="5" spans="1:26">
      <c r="A5" s="1"/>
      <c r="B5" s="3" t="s">
        <v>27</v>
      </c>
      <c r="C5" s="3">
        <v>25065.5264</v>
      </c>
      <c r="D5" s="3">
        <v>791.25</v>
      </c>
      <c r="E5" s="3">
        <v>9589.629999999997</v>
      </c>
      <c r="F5" s="3"/>
      <c r="G5" s="3"/>
      <c r="H5" s="3"/>
      <c r="I5" s="3"/>
      <c r="J5" s="3"/>
      <c r="K5" s="3"/>
      <c r="L5" s="3">
        <v>7558.1825</v>
      </c>
      <c r="M5" s="3">
        <v>12245.6405</v>
      </c>
      <c r="N5" s="3">
        <v>1930.4</v>
      </c>
      <c r="O5" s="3">
        <v>744.431</v>
      </c>
      <c r="P5" s="3"/>
      <c r="Q5" s="3">
        <v>26.78</v>
      </c>
      <c r="R5" s="3">
        <v>2859.66</v>
      </c>
      <c r="S5" s="3"/>
      <c r="T5" s="3"/>
      <c r="U5" s="3"/>
      <c r="V5" s="3"/>
      <c r="W5" s="3"/>
      <c r="X5" s="3"/>
      <c r="Y5" s="3">
        <v>2.24</v>
      </c>
      <c r="Z5" s="3">
        <f>SUM(C5:X5)</f>
        <v>0</v>
      </c>
    </row>
    <row r="6" spans="1:26">
      <c r="A6" s="1" t="s">
        <v>29</v>
      </c>
      <c r="B6" s="2" t="s">
        <v>26</v>
      </c>
      <c r="C6" s="2">
        <v>275035</v>
      </c>
      <c r="D6" s="2">
        <v>20564</v>
      </c>
      <c r="E6" s="2">
        <v>5497</v>
      </c>
      <c r="F6" s="2"/>
      <c r="G6" s="2"/>
      <c r="H6" s="2"/>
      <c r="I6" s="2"/>
      <c r="J6" s="2"/>
      <c r="K6" s="2"/>
      <c r="L6" s="2">
        <v>50050</v>
      </c>
      <c r="M6" s="2">
        <v>198186</v>
      </c>
      <c r="N6" s="2">
        <v>15953</v>
      </c>
      <c r="O6" s="2"/>
      <c r="P6" s="2"/>
      <c r="Q6" s="2"/>
      <c r="R6" s="2">
        <v>7141</v>
      </c>
      <c r="S6" s="2"/>
      <c r="T6" s="2"/>
      <c r="U6" s="2">
        <v>64</v>
      </c>
      <c r="V6" s="2"/>
      <c r="W6" s="2"/>
      <c r="X6" s="2"/>
      <c r="Y6" s="2">
        <v>322450</v>
      </c>
      <c r="Z6" s="2">
        <f>SUM(C6:X6)</f>
        <v>0</v>
      </c>
    </row>
    <row r="7" spans="1:26">
      <c r="A7" s="1"/>
      <c r="B7" s="3" t="s">
        <v>27</v>
      </c>
      <c r="C7" s="3">
        <v>26875.98330000003</v>
      </c>
      <c r="D7" s="3">
        <v>4026.0255</v>
      </c>
      <c r="E7" s="3">
        <v>2957.347</v>
      </c>
      <c r="F7" s="3"/>
      <c r="G7" s="3"/>
      <c r="H7" s="3"/>
      <c r="I7" s="3"/>
      <c r="J7" s="3"/>
      <c r="K7" s="3"/>
      <c r="L7" s="3">
        <v>7155.595</v>
      </c>
      <c r="M7" s="3">
        <v>12331.7775</v>
      </c>
      <c r="N7" s="3">
        <v>2483.9153</v>
      </c>
      <c r="O7" s="3"/>
      <c r="P7" s="3"/>
      <c r="Q7" s="3"/>
      <c r="R7" s="3">
        <v>2453.97</v>
      </c>
      <c r="S7" s="3"/>
      <c r="T7" s="3"/>
      <c r="U7" s="3">
        <v>6.4</v>
      </c>
      <c r="V7" s="3"/>
      <c r="W7" s="3"/>
      <c r="X7" s="3"/>
      <c r="Y7" s="3">
        <v>2116.35</v>
      </c>
      <c r="Z7" s="3">
        <f>SUM(C7:X7)</f>
        <v>0</v>
      </c>
    </row>
    <row r="8" spans="1:26">
      <c r="A8" s="1" t="s">
        <v>30</v>
      </c>
      <c r="B8" s="2" t="s">
        <v>26</v>
      </c>
      <c r="C8" s="2">
        <v>168101</v>
      </c>
      <c r="D8" s="2">
        <v>13665</v>
      </c>
      <c r="E8" s="2">
        <v>1351</v>
      </c>
      <c r="F8" s="2"/>
      <c r="G8" s="2"/>
      <c r="H8" s="2"/>
      <c r="I8" s="2"/>
      <c r="J8" s="2"/>
      <c r="K8" s="2"/>
      <c r="L8" s="2">
        <v>38800</v>
      </c>
      <c r="M8" s="2">
        <v>157974</v>
      </c>
      <c r="N8" s="2">
        <v>9486</v>
      </c>
      <c r="O8" s="2"/>
      <c r="P8" s="2"/>
      <c r="Q8" s="2"/>
      <c r="R8" s="2">
        <v>4913</v>
      </c>
      <c r="S8" s="2"/>
      <c r="T8" s="2"/>
      <c r="U8" s="2">
        <v>2580</v>
      </c>
      <c r="V8" s="2">
        <v>2487</v>
      </c>
      <c r="W8" s="2"/>
      <c r="X8" s="2"/>
      <c r="Y8" s="2">
        <v>217806</v>
      </c>
      <c r="Z8" s="2">
        <f>SUM(C8:X8)</f>
        <v>0</v>
      </c>
    </row>
    <row r="9" spans="1:26">
      <c r="A9" s="1"/>
      <c r="B9" s="3" t="s">
        <v>27</v>
      </c>
      <c r="C9" s="3">
        <v>16494.4669</v>
      </c>
      <c r="D9" s="3">
        <v>2594.4765</v>
      </c>
      <c r="E9" s="3">
        <v>651.5599999999999</v>
      </c>
      <c r="F9" s="3"/>
      <c r="G9" s="3"/>
      <c r="H9" s="3"/>
      <c r="I9" s="3"/>
      <c r="J9" s="3"/>
      <c r="K9" s="3"/>
      <c r="L9" s="3">
        <v>5577.915</v>
      </c>
      <c r="M9" s="3">
        <v>10052.9985</v>
      </c>
      <c r="N9" s="3">
        <v>1528.4106</v>
      </c>
      <c r="O9" s="3"/>
      <c r="P9" s="3"/>
      <c r="Q9" s="3"/>
      <c r="R9" s="3">
        <v>2192.4</v>
      </c>
      <c r="S9" s="3"/>
      <c r="T9" s="3"/>
      <c r="U9" s="3">
        <v>296.7</v>
      </c>
      <c r="V9" s="3">
        <v>522.27</v>
      </c>
      <c r="W9" s="3"/>
      <c r="X9" s="3"/>
      <c r="Y9" s="3">
        <v>6108.71</v>
      </c>
      <c r="Z9" s="3">
        <f>SUM(C9:X9)</f>
        <v>0</v>
      </c>
    </row>
    <row r="10" spans="1:26">
      <c r="A10" s="1" t="s">
        <v>31</v>
      </c>
      <c r="B10" s="2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f>SUM(C10:X10)</f>
        <v>0</v>
      </c>
    </row>
    <row r="11" spans="1:26">
      <c r="A11" s="1"/>
      <c r="B11" s="3" t="s">
        <v>27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>SUM(C11:X11)</f>
        <v>0</v>
      </c>
    </row>
    <row r="12" spans="1:26">
      <c r="A12" s="1" t="s">
        <v>32</v>
      </c>
      <c r="B12" s="2" t="s">
        <v>26</v>
      </c>
      <c r="C12" s="2">
        <v>127943</v>
      </c>
      <c r="D12" s="2"/>
      <c r="E12" s="2">
        <v>797</v>
      </c>
      <c r="F12" s="2"/>
      <c r="G12" s="2"/>
      <c r="H12" s="2"/>
      <c r="I12" s="2"/>
      <c r="J12" s="2"/>
      <c r="K12" s="2"/>
      <c r="L12" s="2">
        <v>22280</v>
      </c>
      <c r="M12" s="2">
        <v>164864</v>
      </c>
      <c r="N12" s="2">
        <v>2055</v>
      </c>
      <c r="O12" s="2"/>
      <c r="P12" s="2"/>
      <c r="Q12" s="2">
        <v>2257</v>
      </c>
      <c r="R12" s="2">
        <v>4509</v>
      </c>
      <c r="S12" s="2"/>
      <c r="T12" s="2">
        <v>1310</v>
      </c>
      <c r="U12" s="2">
        <v>1475</v>
      </c>
      <c r="V12" s="2">
        <v>5530</v>
      </c>
      <c r="W12" s="2"/>
      <c r="X12" s="2"/>
      <c r="Y12" s="2">
        <v>285895</v>
      </c>
      <c r="Z12" s="2">
        <f>SUM(C12:X12)</f>
        <v>0</v>
      </c>
    </row>
    <row r="13" spans="1:26">
      <c r="A13" s="1"/>
      <c r="B13" s="3" t="s">
        <v>27</v>
      </c>
      <c r="C13" s="3">
        <v>12664.06100000001</v>
      </c>
      <c r="D13" s="3"/>
      <c r="E13" s="3">
        <v>382.5599999999999</v>
      </c>
      <c r="F13" s="3"/>
      <c r="G13" s="3"/>
      <c r="H13" s="3"/>
      <c r="I13" s="3"/>
      <c r="J13" s="3"/>
      <c r="K13" s="3"/>
      <c r="L13" s="3">
        <v>3190.420000000001</v>
      </c>
      <c r="M13" s="3">
        <v>10350.5205</v>
      </c>
      <c r="N13" s="3">
        <v>355.2900000000001</v>
      </c>
      <c r="O13" s="3"/>
      <c r="P13" s="3"/>
      <c r="Q13" s="3">
        <v>428.83</v>
      </c>
      <c r="R13" s="3">
        <v>1534.962</v>
      </c>
      <c r="S13" s="3"/>
      <c r="T13" s="3">
        <v>199.49</v>
      </c>
      <c r="U13" s="3">
        <v>169.625</v>
      </c>
      <c r="V13" s="3">
        <v>1103.73</v>
      </c>
      <c r="W13" s="3"/>
      <c r="X13" s="3"/>
      <c r="Y13" s="3">
        <v>14165.3</v>
      </c>
      <c r="Z13" s="3">
        <f>SUM(C13:X13)</f>
        <v>0</v>
      </c>
    </row>
    <row r="14" spans="1:26">
      <c r="A14" s="1" t="s">
        <v>33</v>
      </c>
      <c r="B14" s="2" t="s">
        <v>26</v>
      </c>
      <c r="C14" s="2">
        <v>222868</v>
      </c>
      <c r="D14" s="2">
        <v>12235</v>
      </c>
      <c r="E14" s="2"/>
      <c r="F14" s="2"/>
      <c r="G14" s="2"/>
      <c r="H14" s="2"/>
      <c r="I14" s="2"/>
      <c r="J14" s="2"/>
      <c r="K14" s="2"/>
      <c r="L14" s="2">
        <v>50215</v>
      </c>
      <c r="M14" s="2">
        <v>181085</v>
      </c>
      <c r="N14" s="2">
        <v>1505</v>
      </c>
      <c r="O14" s="2"/>
      <c r="P14" s="2"/>
      <c r="Q14" s="2">
        <v>9876</v>
      </c>
      <c r="R14" s="2">
        <v>7031</v>
      </c>
      <c r="S14" s="2"/>
      <c r="T14" s="2">
        <v>2640</v>
      </c>
      <c r="U14" s="2"/>
      <c r="V14" s="2">
        <v>9031</v>
      </c>
      <c r="W14" s="2"/>
      <c r="X14" s="2"/>
      <c r="Y14" s="2">
        <v>168969</v>
      </c>
      <c r="Z14" s="2">
        <f>SUM(C14:X14)</f>
        <v>0</v>
      </c>
    </row>
    <row r="15" spans="1:26">
      <c r="A15" s="1"/>
      <c r="B15" s="3" t="s">
        <v>27</v>
      </c>
      <c r="C15" s="3">
        <v>22023.76775000002</v>
      </c>
      <c r="D15" s="3">
        <v>2870.531999999999</v>
      </c>
      <c r="E15" s="3"/>
      <c r="F15" s="3"/>
      <c r="G15" s="3"/>
      <c r="H15" s="3"/>
      <c r="I15" s="3"/>
      <c r="J15" s="3"/>
      <c r="K15" s="3"/>
      <c r="L15" s="3">
        <v>6976.248000000002</v>
      </c>
      <c r="M15" s="3">
        <v>11190.6835</v>
      </c>
      <c r="N15" s="3">
        <v>451.5</v>
      </c>
      <c r="O15" s="3"/>
      <c r="P15" s="3"/>
      <c r="Q15" s="3">
        <v>1876.44</v>
      </c>
      <c r="R15" s="3">
        <v>2451.04</v>
      </c>
      <c r="S15" s="3"/>
      <c r="T15" s="3">
        <v>430.58</v>
      </c>
      <c r="U15" s="3"/>
      <c r="V15" s="3">
        <v>1751.24</v>
      </c>
      <c r="W15" s="3"/>
      <c r="X15" s="3"/>
      <c r="Y15" s="3">
        <v>10935.64</v>
      </c>
      <c r="Z15" s="3">
        <f>SUM(C15:X15)</f>
        <v>0</v>
      </c>
    </row>
    <row r="16" spans="1:26">
      <c r="A16" s="1" t="s">
        <v>34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f>SUM(C16:X16)</f>
        <v>0</v>
      </c>
    </row>
    <row r="17" spans="1:26">
      <c r="A17" s="1"/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f>SUM(C17:X17)</f>
        <v>0</v>
      </c>
    </row>
    <row r="18" spans="1:26">
      <c r="A18" s="1" t="s">
        <v>35</v>
      </c>
      <c r="B18" s="2" t="s">
        <v>26</v>
      </c>
      <c r="C18" s="2">
        <v>210231</v>
      </c>
      <c r="D18" s="2">
        <v>35833</v>
      </c>
      <c r="E18" s="2"/>
      <c r="F18" s="2"/>
      <c r="G18" s="2"/>
      <c r="H18" s="2"/>
      <c r="I18" s="2"/>
      <c r="J18" s="2"/>
      <c r="K18" s="2">
        <v>2375</v>
      </c>
      <c r="L18" s="2">
        <v>50224</v>
      </c>
      <c r="M18" s="2">
        <v>202431</v>
      </c>
      <c r="N18" s="2">
        <v>1000</v>
      </c>
      <c r="O18" s="2"/>
      <c r="P18" s="2"/>
      <c r="Q18" s="2">
        <v>7551</v>
      </c>
      <c r="R18" s="2">
        <v>10612</v>
      </c>
      <c r="S18" s="2"/>
      <c r="T18" s="2">
        <v>1100</v>
      </c>
      <c r="U18" s="2"/>
      <c r="V18" s="2">
        <v>10544</v>
      </c>
      <c r="W18" s="2"/>
      <c r="X18" s="2">
        <v>4000</v>
      </c>
      <c r="Y18" s="2">
        <v>7468</v>
      </c>
      <c r="Z18" s="2">
        <f>SUM(C18:X18)</f>
        <v>0</v>
      </c>
    </row>
    <row r="19" spans="1:26">
      <c r="A19" s="1"/>
      <c r="B19" s="3" t="s">
        <v>27</v>
      </c>
      <c r="C19" s="3">
        <v>20294.69490000002</v>
      </c>
      <c r="D19" s="3">
        <v>6761.5314</v>
      </c>
      <c r="E19" s="3"/>
      <c r="F19" s="3"/>
      <c r="G19" s="3"/>
      <c r="H19" s="3"/>
      <c r="I19" s="3"/>
      <c r="J19" s="3"/>
      <c r="K19" s="3">
        <v>475</v>
      </c>
      <c r="L19" s="3">
        <v>7043.031700000003</v>
      </c>
      <c r="M19" s="3">
        <v>13309.0302</v>
      </c>
      <c r="N19" s="3">
        <v>306.963</v>
      </c>
      <c r="O19" s="3"/>
      <c r="P19" s="3"/>
      <c r="Q19" s="3">
        <v>1434.69</v>
      </c>
      <c r="R19" s="3">
        <v>2400.1126</v>
      </c>
      <c r="S19" s="3"/>
      <c r="T19" s="3">
        <v>184.35</v>
      </c>
      <c r="U19" s="3"/>
      <c r="V19" s="3">
        <v>2101.66</v>
      </c>
      <c r="W19" s="3"/>
      <c r="X19" s="3">
        <v>2494.5</v>
      </c>
      <c r="Y19" s="3">
        <v>3509.96</v>
      </c>
      <c r="Z19" s="3">
        <f>SUM(C19:X19)</f>
        <v>0</v>
      </c>
    </row>
    <row r="20" spans="1:26">
      <c r="A20" s="1" t="s">
        <v>36</v>
      </c>
      <c r="B20" s="2" t="s">
        <v>26</v>
      </c>
      <c r="C20" s="2">
        <v>195706</v>
      </c>
      <c r="D20" s="2">
        <v>20234</v>
      </c>
      <c r="E20" s="2">
        <v>81</v>
      </c>
      <c r="F20" s="2"/>
      <c r="G20" s="2"/>
      <c r="H20" s="2"/>
      <c r="I20" s="2"/>
      <c r="J20" s="2"/>
      <c r="K20" s="2">
        <v>2249</v>
      </c>
      <c r="L20" s="2">
        <v>50432</v>
      </c>
      <c r="M20" s="2">
        <v>178929</v>
      </c>
      <c r="N20" s="2">
        <v>1260</v>
      </c>
      <c r="O20" s="2"/>
      <c r="P20" s="2"/>
      <c r="Q20" s="2">
        <v>3329</v>
      </c>
      <c r="R20" s="2">
        <v>8611</v>
      </c>
      <c r="S20" s="2"/>
      <c r="T20" s="2">
        <v>900</v>
      </c>
      <c r="U20" s="2"/>
      <c r="V20" s="2">
        <v>11696</v>
      </c>
      <c r="W20" s="2"/>
      <c r="X20" s="2"/>
      <c r="Y20" s="2">
        <v>324725</v>
      </c>
      <c r="Z20" s="2">
        <f>SUM(C20:X20)</f>
        <v>0</v>
      </c>
    </row>
    <row r="21" spans="1:26">
      <c r="A21" s="1"/>
      <c r="B21" s="3" t="s">
        <v>27</v>
      </c>
      <c r="C21" s="3">
        <v>19515.34835</v>
      </c>
      <c r="D21" s="3">
        <v>3419.7396</v>
      </c>
      <c r="E21" s="3">
        <v>52.4</v>
      </c>
      <c r="F21" s="3"/>
      <c r="G21" s="3"/>
      <c r="H21" s="3"/>
      <c r="I21" s="3"/>
      <c r="J21" s="3"/>
      <c r="K21" s="3">
        <v>449.8</v>
      </c>
      <c r="L21" s="3">
        <v>6920.5631</v>
      </c>
      <c r="M21" s="3">
        <v>11326.0207</v>
      </c>
      <c r="N21" s="3">
        <v>206.5</v>
      </c>
      <c r="O21" s="3"/>
      <c r="P21" s="3"/>
      <c r="Q21" s="3">
        <v>632.51</v>
      </c>
      <c r="R21" s="3">
        <v>2217.2186</v>
      </c>
      <c r="S21" s="3"/>
      <c r="T21" s="3">
        <v>147.15</v>
      </c>
      <c r="U21" s="3"/>
      <c r="V21" s="3">
        <v>2279.25</v>
      </c>
      <c r="W21" s="3"/>
      <c r="X21" s="3"/>
      <c r="Y21" s="3">
        <v>13227.458</v>
      </c>
      <c r="Z21" s="3">
        <f>SUM(C21:X21)</f>
        <v>0</v>
      </c>
    </row>
    <row r="22" spans="1:26">
      <c r="A22" s="1" t="s">
        <v>37</v>
      </c>
      <c r="B22" s="2" t="s">
        <v>26</v>
      </c>
      <c r="C22" s="2">
        <v>239709</v>
      </c>
      <c r="D22" s="2">
        <v>37940</v>
      </c>
      <c r="E22" s="2">
        <v>7617</v>
      </c>
      <c r="F22" s="2"/>
      <c r="G22" s="2"/>
      <c r="H22" s="2"/>
      <c r="I22" s="2"/>
      <c r="J22" s="2"/>
      <c r="K22" s="2">
        <v>5984</v>
      </c>
      <c r="L22" s="2">
        <v>50468</v>
      </c>
      <c r="M22" s="2">
        <v>180882</v>
      </c>
      <c r="N22" s="2">
        <v>32</v>
      </c>
      <c r="O22" s="2"/>
      <c r="P22" s="2"/>
      <c r="Q22" s="2">
        <v>845</v>
      </c>
      <c r="R22" s="2">
        <v>10639</v>
      </c>
      <c r="S22" s="2"/>
      <c r="T22" s="2"/>
      <c r="U22" s="2"/>
      <c r="V22" s="2">
        <v>12568</v>
      </c>
      <c r="W22" s="2"/>
      <c r="X22" s="2"/>
      <c r="Y22" s="2">
        <v>10318</v>
      </c>
      <c r="Z22" s="2">
        <f>SUM(C22:X22)</f>
        <v>0</v>
      </c>
    </row>
    <row r="23" spans="1:26">
      <c r="A23" s="1"/>
      <c r="B23" s="3" t="s">
        <v>27</v>
      </c>
      <c r="C23" s="3">
        <v>23901.7603</v>
      </c>
      <c r="D23" s="3">
        <v>6267.186999999999</v>
      </c>
      <c r="E23" s="3">
        <v>3046.8</v>
      </c>
      <c r="F23" s="3"/>
      <c r="G23" s="3"/>
      <c r="H23" s="3"/>
      <c r="I23" s="3"/>
      <c r="J23" s="3"/>
      <c r="K23" s="3">
        <v>1196.8</v>
      </c>
      <c r="L23" s="3">
        <v>7018.280400000001</v>
      </c>
      <c r="M23" s="3">
        <v>12014.0753</v>
      </c>
      <c r="N23" s="3">
        <v>5.12</v>
      </c>
      <c r="O23" s="3"/>
      <c r="P23" s="3"/>
      <c r="Q23" s="3">
        <v>160.55</v>
      </c>
      <c r="R23" s="3">
        <v>2365.804999999999</v>
      </c>
      <c r="S23" s="3"/>
      <c r="T23" s="3"/>
      <c r="U23" s="3"/>
      <c r="V23" s="3">
        <v>2403.24</v>
      </c>
      <c r="W23" s="3"/>
      <c r="X23" s="3"/>
      <c r="Y23" s="3">
        <v>4849.46</v>
      </c>
      <c r="Z23" s="3">
        <f>SUM(C23:X23)</f>
        <v>0</v>
      </c>
    </row>
    <row r="24" spans="1:26">
      <c r="A24" s="1" t="s">
        <v>38</v>
      </c>
      <c r="B24" s="2" t="s">
        <v>26</v>
      </c>
      <c r="C24" s="2">
        <v>181954</v>
      </c>
      <c r="D24" s="2">
        <v>32872</v>
      </c>
      <c r="E24" s="2">
        <v>600</v>
      </c>
      <c r="F24" s="2"/>
      <c r="G24" s="2"/>
      <c r="H24" s="2"/>
      <c r="I24" s="2"/>
      <c r="J24" s="2"/>
      <c r="K24" s="2">
        <v>4729</v>
      </c>
      <c r="L24" s="2">
        <v>60420</v>
      </c>
      <c r="M24" s="2">
        <v>201357</v>
      </c>
      <c r="N24" s="2">
        <v>726</v>
      </c>
      <c r="O24" s="2"/>
      <c r="P24" s="2"/>
      <c r="Q24" s="2">
        <v>842</v>
      </c>
      <c r="R24" s="2">
        <v>10762</v>
      </c>
      <c r="S24" s="2"/>
      <c r="T24" s="2"/>
      <c r="U24" s="2">
        <v>4429</v>
      </c>
      <c r="V24" s="2">
        <v>12112</v>
      </c>
      <c r="W24" s="2"/>
      <c r="X24" s="2"/>
      <c r="Y24" s="2">
        <v>57773</v>
      </c>
      <c r="Z24" s="2">
        <f>SUM(C24:X24)</f>
        <v>0</v>
      </c>
    </row>
    <row r="25" spans="1:26">
      <c r="A25" s="1"/>
      <c r="B25" s="3" t="s">
        <v>27</v>
      </c>
      <c r="C25" s="3">
        <v>17980.70629999998</v>
      </c>
      <c r="D25" s="3">
        <v>5520.955400000001</v>
      </c>
      <c r="E25" s="3">
        <v>240</v>
      </c>
      <c r="F25" s="3"/>
      <c r="G25" s="3"/>
      <c r="H25" s="3"/>
      <c r="I25" s="3"/>
      <c r="J25" s="3"/>
      <c r="K25" s="3">
        <v>945.8000000000001</v>
      </c>
      <c r="L25" s="3">
        <v>8321.252500000002</v>
      </c>
      <c r="M25" s="3">
        <v>16311.22920000001</v>
      </c>
      <c r="N25" s="3">
        <v>250.433</v>
      </c>
      <c r="O25" s="3"/>
      <c r="P25" s="3"/>
      <c r="Q25" s="3">
        <v>159.98</v>
      </c>
      <c r="R25" s="3">
        <v>2179.1474</v>
      </c>
      <c r="S25" s="3"/>
      <c r="T25" s="3"/>
      <c r="U25" s="3">
        <v>509.335</v>
      </c>
      <c r="V25" s="3">
        <v>2291.36</v>
      </c>
      <c r="W25" s="3"/>
      <c r="X25" s="3"/>
      <c r="Y25" s="3">
        <v>10452.21</v>
      </c>
      <c r="Z25" s="3">
        <f>SUM(C25:X25)</f>
        <v>0</v>
      </c>
    </row>
    <row r="26" spans="1:26">
      <c r="A26" s="1" t="s">
        <v>39</v>
      </c>
      <c r="B26" s="2" t="s">
        <v>26</v>
      </c>
      <c r="C26" s="2">
        <v>239105</v>
      </c>
      <c r="D26" s="2">
        <v>14306</v>
      </c>
      <c r="E26" s="2">
        <v>4765</v>
      </c>
      <c r="F26" s="2"/>
      <c r="G26" s="2"/>
      <c r="H26" s="2"/>
      <c r="I26" s="2"/>
      <c r="J26" s="2"/>
      <c r="K26" s="2">
        <v>8490</v>
      </c>
      <c r="L26" s="2">
        <v>60348</v>
      </c>
      <c r="M26" s="2">
        <v>224458</v>
      </c>
      <c r="N26" s="2"/>
      <c r="O26" s="2"/>
      <c r="P26" s="2"/>
      <c r="Q26" s="2">
        <v>1117</v>
      </c>
      <c r="R26" s="2">
        <v>13738</v>
      </c>
      <c r="S26" s="2"/>
      <c r="T26" s="2"/>
      <c r="U26" s="2">
        <v>2921</v>
      </c>
      <c r="V26" s="2">
        <v>10691</v>
      </c>
      <c r="W26" s="2"/>
      <c r="X26" s="2"/>
      <c r="Y26" s="2">
        <v>13171</v>
      </c>
      <c r="Z26" s="2">
        <f>SUM(C26:X26)</f>
        <v>0</v>
      </c>
    </row>
    <row r="27" spans="1:26">
      <c r="A27" s="1"/>
      <c r="B27" s="3" t="s">
        <v>27</v>
      </c>
      <c r="C27" s="3">
        <v>24364.0569</v>
      </c>
      <c r="D27" s="3">
        <v>2892.3141</v>
      </c>
      <c r="E27" s="3">
        <v>1906</v>
      </c>
      <c r="F27" s="3"/>
      <c r="G27" s="3"/>
      <c r="H27" s="3"/>
      <c r="I27" s="3"/>
      <c r="J27" s="3"/>
      <c r="K27" s="3">
        <v>1698</v>
      </c>
      <c r="L27" s="3">
        <v>7760.527800000003</v>
      </c>
      <c r="M27" s="3">
        <v>17205.7686</v>
      </c>
      <c r="N27" s="3"/>
      <c r="O27" s="3"/>
      <c r="P27" s="3"/>
      <c r="Q27" s="3">
        <v>212.23</v>
      </c>
      <c r="R27" s="3">
        <v>2945.8936</v>
      </c>
      <c r="S27" s="3"/>
      <c r="T27" s="3"/>
      <c r="U27" s="3">
        <v>335.915</v>
      </c>
      <c r="V27" s="3">
        <v>2128.87</v>
      </c>
      <c r="W27" s="3"/>
      <c r="X27" s="3"/>
      <c r="Y27" s="3">
        <v>5873.319999999999</v>
      </c>
      <c r="Z27" s="3">
        <f>SUM(C27:X27)</f>
        <v>0</v>
      </c>
    </row>
    <row r="28" spans="1:26">
      <c r="A28" s="1" t="s">
        <v>40</v>
      </c>
      <c r="B28" s="2" t="s">
        <v>26</v>
      </c>
      <c r="C28" s="2">
        <v>315014</v>
      </c>
      <c r="D28" s="2">
        <v>8735</v>
      </c>
      <c r="E28" s="2">
        <v>12359</v>
      </c>
      <c r="F28" s="2"/>
      <c r="G28" s="2"/>
      <c r="H28" s="2"/>
      <c r="I28" s="2"/>
      <c r="J28" s="2"/>
      <c r="K28" s="2">
        <v>6272</v>
      </c>
      <c r="L28" s="2">
        <v>60437</v>
      </c>
      <c r="M28" s="2">
        <v>230975</v>
      </c>
      <c r="N28" s="2">
        <v>2569</v>
      </c>
      <c r="O28" s="2"/>
      <c r="P28" s="2"/>
      <c r="Q28" s="2">
        <v>4546</v>
      </c>
      <c r="R28" s="2">
        <v>10417</v>
      </c>
      <c r="S28" s="2"/>
      <c r="T28" s="2"/>
      <c r="U28" s="2"/>
      <c r="V28" s="2">
        <v>8093</v>
      </c>
      <c r="W28" s="2"/>
      <c r="X28" s="2"/>
      <c r="Y28" s="2">
        <v>3501</v>
      </c>
      <c r="Z28" s="2">
        <f>SUM(C28:X28)</f>
        <v>0</v>
      </c>
    </row>
    <row r="29" spans="1:26">
      <c r="A29" s="1"/>
      <c r="B29" s="3" t="s">
        <v>27</v>
      </c>
      <c r="C29" s="3">
        <v>32347.98600000001</v>
      </c>
      <c r="D29" s="3">
        <v>2377.8996</v>
      </c>
      <c r="E29" s="3">
        <v>4943.599999999999</v>
      </c>
      <c r="F29" s="3"/>
      <c r="G29" s="3"/>
      <c r="H29" s="3"/>
      <c r="I29" s="3"/>
      <c r="J29" s="3"/>
      <c r="K29" s="3">
        <v>1254.4</v>
      </c>
      <c r="L29" s="3">
        <v>8254.285100000003</v>
      </c>
      <c r="M29" s="3">
        <v>15436.5921</v>
      </c>
      <c r="N29" s="3">
        <v>453.475</v>
      </c>
      <c r="O29" s="3"/>
      <c r="P29" s="3"/>
      <c r="Q29" s="3">
        <v>639.25</v>
      </c>
      <c r="R29" s="3">
        <v>2376.3268</v>
      </c>
      <c r="S29" s="3"/>
      <c r="T29" s="3"/>
      <c r="U29" s="3"/>
      <c r="V29" s="3">
        <v>1810.02</v>
      </c>
      <c r="W29" s="3"/>
      <c r="X29" s="3"/>
      <c r="Y29" s="3">
        <v>340.9225</v>
      </c>
      <c r="Z29" s="3">
        <f>SUM(C29:X29)</f>
        <v>0</v>
      </c>
    </row>
    <row r="30" spans="1:26">
      <c r="A30" s="1" t="s">
        <v>41</v>
      </c>
      <c r="B30" s="2" t="s">
        <v>26</v>
      </c>
      <c r="C30" s="2">
        <v>207057</v>
      </c>
      <c r="D30" s="2">
        <v>6299</v>
      </c>
      <c r="E30" s="2">
        <v>9299</v>
      </c>
      <c r="F30" s="2"/>
      <c r="G30" s="2"/>
      <c r="H30" s="2"/>
      <c r="I30" s="2"/>
      <c r="J30" s="2"/>
      <c r="K30" s="2">
        <v>5116</v>
      </c>
      <c r="L30" s="2">
        <v>50528</v>
      </c>
      <c r="M30" s="2">
        <v>203518</v>
      </c>
      <c r="N30" s="2">
        <v>3584</v>
      </c>
      <c r="O30" s="2"/>
      <c r="P30" s="2"/>
      <c r="Q30" s="2"/>
      <c r="R30" s="2">
        <v>3563</v>
      </c>
      <c r="S30" s="2"/>
      <c r="T30" s="2"/>
      <c r="U30" s="2"/>
      <c r="V30" s="2">
        <v>6905</v>
      </c>
      <c r="W30" s="2"/>
      <c r="X30" s="2"/>
      <c r="Y30" s="2">
        <v>567</v>
      </c>
      <c r="Z30" s="2">
        <f>SUM(C30:X30)</f>
        <v>0</v>
      </c>
    </row>
    <row r="31" spans="1:26">
      <c r="A31" s="1"/>
      <c r="B31" s="3" t="s">
        <v>27</v>
      </c>
      <c r="C31" s="3">
        <v>21574.89645000001</v>
      </c>
      <c r="D31" s="3">
        <v>1404.988</v>
      </c>
      <c r="E31" s="3">
        <v>3719.6</v>
      </c>
      <c r="F31" s="3"/>
      <c r="G31" s="3"/>
      <c r="H31" s="3"/>
      <c r="I31" s="3"/>
      <c r="J31" s="3"/>
      <c r="K31" s="3">
        <v>1023.2</v>
      </c>
      <c r="L31" s="3">
        <v>7290.317800000003</v>
      </c>
      <c r="M31" s="3">
        <v>17335.1431</v>
      </c>
      <c r="N31" s="3">
        <v>766.1680000000001</v>
      </c>
      <c r="O31" s="3"/>
      <c r="P31" s="3"/>
      <c r="Q31" s="3"/>
      <c r="R31" s="3">
        <v>827.1906</v>
      </c>
      <c r="S31" s="3"/>
      <c r="T31" s="3"/>
      <c r="U31" s="3"/>
      <c r="V31" s="3">
        <v>1920.04</v>
      </c>
      <c r="W31" s="3"/>
      <c r="X31" s="3"/>
      <c r="Y31" s="3">
        <v>45.36</v>
      </c>
      <c r="Z31" s="3">
        <f>SUM(C31:X31)</f>
        <v>0</v>
      </c>
    </row>
    <row r="32" spans="1:26">
      <c r="A32" s="1" t="s">
        <v>42</v>
      </c>
      <c r="B32" s="2" t="s">
        <v>26</v>
      </c>
      <c r="C32" s="2">
        <v>291863</v>
      </c>
      <c r="D32" s="2">
        <v>14130</v>
      </c>
      <c r="E32" s="2">
        <v>5475</v>
      </c>
      <c r="F32" s="2"/>
      <c r="G32" s="2"/>
      <c r="H32" s="2"/>
      <c r="I32" s="2"/>
      <c r="J32" s="2"/>
      <c r="K32" s="2">
        <v>7154</v>
      </c>
      <c r="L32" s="2">
        <v>30000</v>
      </c>
      <c r="M32" s="2">
        <v>232992</v>
      </c>
      <c r="N32" s="2">
        <v>9138</v>
      </c>
      <c r="O32" s="2"/>
      <c r="P32" s="2"/>
      <c r="Q32" s="2">
        <v>320</v>
      </c>
      <c r="R32" s="2">
        <v>8523</v>
      </c>
      <c r="S32" s="2"/>
      <c r="T32" s="2"/>
      <c r="U32" s="2"/>
      <c r="V32" s="2">
        <v>10256</v>
      </c>
      <c r="W32" s="2"/>
      <c r="X32" s="2"/>
      <c r="Y32" s="2">
        <v>405125</v>
      </c>
      <c r="Z32" s="2">
        <f>SUM(C32:X32)</f>
        <v>0</v>
      </c>
    </row>
    <row r="33" spans="1:26">
      <c r="A33" s="1"/>
      <c r="B33" s="3" t="s">
        <v>27</v>
      </c>
      <c r="C33" s="3">
        <v>30087.59360000002</v>
      </c>
      <c r="D33" s="3">
        <v>3237.2294</v>
      </c>
      <c r="E33" s="3">
        <v>2190</v>
      </c>
      <c r="F33" s="3"/>
      <c r="G33" s="3"/>
      <c r="H33" s="3"/>
      <c r="I33" s="3"/>
      <c r="J33" s="3"/>
      <c r="K33" s="3">
        <v>1430.8</v>
      </c>
      <c r="L33" s="3">
        <v>4334.597</v>
      </c>
      <c r="M33" s="3">
        <v>17822.3296</v>
      </c>
      <c r="N33" s="3">
        <v>1317.045</v>
      </c>
      <c r="O33" s="3"/>
      <c r="P33" s="3"/>
      <c r="Q33" s="3">
        <v>44.8</v>
      </c>
      <c r="R33" s="3">
        <v>2214.112</v>
      </c>
      <c r="S33" s="3"/>
      <c r="T33" s="3"/>
      <c r="U33" s="3"/>
      <c r="V33" s="3">
        <v>2188.535</v>
      </c>
      <c r="W33" s="3"/>
      <c r="X33" s="3"/>
      <c r="Y33" s="3">
        <v>582.375</v>
      </c>
      <c r="Z33" s="3">
        <f>SUM(C33:X33)</f>
        <v>0</v>
      </c>
    </row>
    <row r="34" spans="1:26">
      <c r="A34" s="1" t="s">
        <v>43</v>
      </c>
      <c r="B34" s="2" t="s">
        <v>26</v>
      </c>
      <c r="C34" s="2">
        <v>68773</v>
      </c>
      <c r="D34" s="2">
        <v>1871</v>
      </c>
      <c r="E34" s="2">
        <v>1643</v>
      </c>
      <c r="F34" s="2"/>
      <c r="G34" s="2"/>
      <c r="H34" s="2"/>
      <c r="I34" s="2"/>
      <c r="J34" s="2"/>
      <c r="K34" s="2">
        <v>1763</v>
      </c>
      <c r="L34" s="2">
        <v>7370</v>
      </c>
      <c r="M34" s="2">
        <v>106187</v>
      </c>
      <c r="N34" s="2">
        <v>6044</v>
      </c>
      <c r="O34" s="2"/>
      <c r="P34" s="2"/>
      <c r="Q34" s="2"/>
      <c r="R34" s="2"/>
      <c r="S34" s="2"/>
      <c r="T34" s="2"/>
      <c r="U34" s="2"/>
      <c r="V34" s="2">
        <v>324</v>
      </c>
      <c r="W34" s="2"/>
      <c r="X34" s="2"/>
      <c r="Y34" s="2"/>
      <c r="Z34" s="2">
        <f>SUM(C34:X34)</f>
        <v>0</v>
      </c>
    </row>
    <row r="35" spans="1:26">
      <c r="A35" s="1"/>
      <c r="B35" s="3" t="s">
        <v>27</v>
      </c>
      <c r="C35" s="3">
        <v>7451.204500000003</v>
      </c>
      <c r="D35" s="3">
        <v>436.5043</v>
      </c>
      <c r="E35" s="3">
        <v>657.2</v>
      </c>
      <c r="F35" s="3"/>
      <c r="G35" s="3"/>
      <c r="H35" s="3"/>
      <c r="I35" s="3"/>
      <c r="J35" s="3"/>
      <c r="K35" s="3">
        <v>352.6</v>
      </c>
      <c r="L35" s="3">
        <v>973.9825</v>
      </c>
      <c r="M35" s="3">
        <v>6397.726000000001</v>
      </c>
      <c r="N35" s="3">
        <v>838.3200000000001</v>
      </c>
      <c r="O35" s="3"/>
      <c r="P35" s="3"/>
      <c r="Q35" s="3"/>
      <c r="R35" s="3"/>
      <c r="S35" s="3"/>
      <c r="T35" s="3"/>
      <c r="U35" s="3"/>
      <c r="V35" s="3">
        <v>84.13499999999999</v>
      </c>
      <c r="W35" s="3"/>
      <c r="X35" s="3"/>
      <c r="Y35" s="3"/>
      <c r="Z35" s="3">
        <f>SUM(C35:X35)</f>
        <v>0</v>
      </c>
    </row>
    <row r="36" spans="1:26">
      <c r="A36" s="1" t="s">
        <v>24</v>
      </c>
      <c r="B36" s="2" t="s">
        <v>26</v>
      </c>
      <c r="C36" s="4">
        <v>2980491</v>
      </c>
      <c r="D36" s="4">
        <v>221849</v>
      </c>
      <c r="E36" s="4">
        <v>64580</v>
      </c>
      <c r="F36" s="4"/>
      <c r="G36" s="4"/>
      <c r="H36" s="4"/>
      <c r="I36" s="4"/>
      <c r="J36" s="4"/>
      <c r="K36" s="4">
        <v>44132</v>
      </c>
      <c r="L36" s="4">
        <v>631942</v>
      </c>
      <c r="M36" s="4">
        <v>2616565</v>
      </c>
      <c r="N36" s="4">
        <v>65417</v>
      </c>
      <c r="O36" s="4">
        <v>3000</v>
      </c>
      <c r="P36" s="4"/>
      <c r="Q36" s="4">
        <v>30786</v>
      </c>
      <c r="R36" s="4">
        <v>110780</v>
      </c>
      <c r="S36" s="4"/>
      <c r="T36" s="4">
        <v>5950</v>
      </c>
      <c r="U36" s="4">
        <v>11469</v>
      </c>
      <c r="V36" s="4">
        <v>100237</v>
      </c>
      <c r="W36" s="4"/>
      <c r="X36" s="4">
        <v>4000</v>
      </c>
      <c r="Y36" s="4">
        <v>1817848</v>
      </c>
      <c r="Z36" s="4">
        <f>SUM(C36:X36)</f>
        <v>0</v>
      </c>
    </row>
    <row r="37" spans="1:26">
      <c r="A37" s="1"/>
      <c r="B37" s="5" t="s">
        <v>27</v>
      </c>
      <c r="C37" s="6">
        <v>300642</v>
      </c>
      <c r="D37" s="6">
        <v>42600</v>
      </c>
      <c r="E37" s="6">
        <v>30336</v>
      </c>
      <c r="F37" s="4"/>
      <c r="G37" s="4"/>
      <c r="H37" s="4"/>
      <c r="I37" s="4"/>
      <c r="J37" s="4"/>
      <c r="K37" s="6">
        <v>8826</v>
      </c>
      <c r="L37" s="6">
        <v>88375</v>
      </c>
      <c r="M37" s="6">
        <v>183329</v>
      </c>
      <c r="N37" s="6">
        <v>10893</v>
      </c>
      <c r="O37" s="6">
        <v>744</v>
      </c>
      <c r="P37" s="4"/>
      <c r="Q37" s="6">
        <v>5616</v>
      </c>
      <c r="R37" s="6">
        <v>29017</v>
      </c>
      <c r="S37" s="4"/>
      <c r="T37" s="6">
        <v>961</v>
      </c>
      <c r="U37" s="6">
        <v>1317</v>
      </c>
      <c r="V37" s="6">
        <v>20584</v>
      </c>
      <c r="W37" s="4"/>
      <c r="X37" s="6">
        <v>2494</v>
      </c>
      <c r="Y37" s="6">
        <v>72209</v>
      </c>
      <c r="Z37" s="6">
        <f>SUM(C37:X37)</f>
        <v>0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  <mergeCell ref="A36:A37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2025-08-17T06:30:51Z</dcterms:created>
  <dcterms:modified xsi:type="dcterms:W3CDTF">2025-08-17T06:30:51Z</dcterms:modified>
</cp:coreProperties>
</file>